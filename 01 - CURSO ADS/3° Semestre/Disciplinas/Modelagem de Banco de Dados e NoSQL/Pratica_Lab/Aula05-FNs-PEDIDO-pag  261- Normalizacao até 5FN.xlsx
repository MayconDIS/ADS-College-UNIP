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nip-2026-1\ADS_Presencial\Modelagem de BDados\"/>
    </mc:Choice>
  </mc:AlternateContent>
  <xr:revisionPtr revIDLastSave="0" documentId="8_{71687D74-D5CB-42AF-BC1C-97A24382BC1B}" xr6:coauthVersionLast="47" xr6:coauthVersionMax="47" xr10:uidLastSave="{00000000-0000-0000-0000-000000000000}"/>
  <bookViews>
    <workbookView xWindow="-120" yWindow="-120" windowWidth="20730" windowHeight="11160" xr2:uid="{3BB3F34C-82F8-4146-85C4-B07CC4377CEE}"/>
  </bookViews>
  <sheets>
    <sheet name="Pedido Impresso-Aula05" sheetId="1" r:id="rId1"/>
    <sheet name="Pedido-Estrut" sheetId="2" r:id="rId2"/>
    <sheet name="Pedido-Estrut-1FN" sheetId="3" r:id="rId3"/>
    <sheet name="Pedido-Estrut-2FN" sheetId="4" r:id="rId4"/>
    <sheet name="Pedido-Estrut-3FN" sheetId="5" r:id="rId5"/>
    <sheet name="TabsPop3FN" sheetId="6" r:id="rId6"/>
    <sheet name="4FN" sheetId="7" r:id="rId7"/>
    <sheet name="5FN"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4" i="4" l="1"/>
  <c r="Q13" i="4"/>
  <c r="Q12" i="4"/>
  <c r="Q11" i="4"/>
  <c r="Q10" i="4"/>
  <c r="Z14" i="3"/>
  <c r="Z13" i="3"/>
  <c r="Z12" i="3"/>
  <c r="Z11" i="3"/>
  <c r="Z10" i="3"/>
  <c r="K8" i="2"/>
  <c r="K7" i="2"/>
  <c r="K6" i="2"/>
  <c r="K5" i="2"/>
  <c r="K4" i="2"/>
  <c r="G12" i="1"/>
  <c r="G8" i="1"/>
  <c r="G9" i="1"/>
  <c r="G10" i="1"/>
  <c r="G11" i="1"/>
  <c r="G7" i="1"/>
</calcChain>
</file>

<file path=xl/sharedStrings.xml><?xml version="1.0" encoding="utf-8"?>
<sst xmlns="http://schemas.openxmlformats.org/spreadsheetml/2006/main" count="308" uniqueCount="84">
  <si>
    <t>Pedido Nº : 0347</t>
  </si>
  <si>
    <t>Codigo do Cliente: 00341            Nome Cliente: Fulano de Tal</t>
  </si>
  <si>
    <t>Endereço: Av. Corifeu de Azevedo Marques, 190 - Limoeiro</t>
  </si>
  <si>
    <t>Cidade: São José dos Campos           UF: SP</t>
  </si>
  <si>
    <t>Codigo</t>
  </si>
  <si>
    <t>Descrição</t>
  </si>
  <si>
    <t>Qtde</t>
  </si>
  <si>
    <t>Preço Unit.</t>
  </si>
  <si>
    <t>Valor Total</t>
  </si>
  <si>
    <t>Caderno Universitário Espiral 5 Mat./200 Fls</t>
  </si>
  <si>
    <t>Caneta Esferográfica Azul</t>
  </si>
  <si>
    <t>Caneta Esferográfica Vermelha</t>
  </si>
  <si>
    <t>Papel Sulfite A4</t>
  </si>
  <si>
    <t>CD-ROM - Gravável (CDR)</t>
  </si>
  <si>
    <t>Vendedor:  001  Vendedor: Costa   Total do Pedido:</t>
  </si>
  <si>
    <t>NR. PEDIDO</t>
  </si>
  <si>
    <t>CLIENTE</t>
  </si>
  <si>
    <t>ENDEREÇO</t>
  </si>
  <si>
    <t>CIDADE</t>
  </si>
  <si>
    <t>UF</t>
  </si>
  <si>
    <t>DESCRIÇÃO PRODUTO</t>
  </si>
  <si>
    <t>QTDE</t>
  </si>
  <si>
    <t>PREÇO UNITARIO</t>
  </si>
  <si>
    <t>VALOR TOTAL</t>
  </si>
  <si>
    <t>VENDEDOR</t>
  </si>
  <si>
    <t>COSTA</t>
  </si>
  <si>
    <t>AV CORIFEU DE A. MARQUES, 190</t>
  </si>
  <si>
    <t>SJCAMPOS</t>
  </si>
  <si>
    <t>SP</t>
  </si>
  <si>
    <t>AV CORIFEU DE A. MARQUES, 191</t>
  </si>
  <si>
    <t>AV CORIFEU DE A. MARQUES, 192</t>
  </si>
  <si>
    <t>AV CORIFEU DE A. MARQUES, 193</t>
  </si>
  <si>
    <t>AV CORIFEU DE A. MARQUES, 194</t>
  </si>
  <si>
    <t>COD PROD</t>
  </si>
  <si>
    <t>VENDE DOR</t>
  </si>
  <si>
    <t>COD CLIENTE</t>
  </si>
  <si>
    <t>NOME CLIENTE</t>
  </si>
  <si>
    <t xml:space="preserve">DESCRIÇÃO </t>
  </si>
  <si>
    <t>END CLIENTE</t>
  </si>
  <si>
    <t>CID CLIENTE</t>
  </si>
  <si>
    <t>UF CLIENTE</t>
  </si>
  <si>
    <t>COD VENDEDOR</t>
  </si>
  <si>
    <t>NOME VENDEDOR</t>
  </si>
  <si>
    <r>
      <t xml:space="preserve">A entidade </t>
    </r>
    <r>
      <rPr>
        <b/>
        <sz val="16"/>
        <color theme="1"/>
        <rFont val="Aptos Narrow"/>
        <family val="2"/>
        <scheme val="minor"/>
      </rPr>
      <t>PEDIDO</t>
    </r>
    <r>
      <rPr>
        <sz val="16"/>
        <color theme="1"/>
        <rFont val="Aptos Narrow"/>
        <family val="2"/>
        <scheme val="minor"/>
      </rPr>
      <t xml:space="preserve"> esquematizada abaixo possui como PK da relação o atributo </t>
    </r>
    <r>
      <rPr>
        <b/>
        <sz val="16"/>
        <color theme="1"/>
        <rFont val="Aptos Narrow"/>
        <family val="2"/>
        <scheme val="minor"/>
      </rPr>
      <t>NR. PEDIDO,</t>
    </r>
    <r>
      <rPr>
        <sz val="16"/>
        <color theme="1"/>
        <rFont val="Aptos Narrow"/>
        <family val="2"/>
        <scheme val="minor"/>
      </rPr>
      <t xml:space="preserve"> em destaque no gráfico. Para atingir a 1FN, é preciso decompô-la em tantas entidades quantas forem necessárias para não ter itens repetidos.  </t>
    </r>
  </si>
  <si>
    <t xml:space="preserve">Os atributos que se repetem (COD PROD, DESCRIÇÃO, QUDE, PREÇO UNITARIO, e VALOR TOTAL) devem ser removidos. Com essa decomposição, chegamos a duas entidades, uma para PEDIDO e outra para PEDIDO-ITEM </t>
  </si>
  <si>
    <t>PEDIDO</t>
  </si>
  <si>
    <t>PEDIDO-ITEM</t>
  </si>
  <si>
    <t>FULANO DE TAL</t>
  </si>
  <si>
    <t>Fulano de Tal</t>
  </si>
  <si>
    <t>S J CAMPOS</t>
  </si>
  <si>
    <t>ENTIDADE: PEDIDO</t>
  </si>
  <si>
    <t>ENTIDADE: PEDIDO-ITEM</t>
  </si>
  <si>
    <t>A chave da entidade PEDIDO é o número do pedido, que é único para cada registro. Já para a entidade PEDIDO-ITEM tem-se uma chave primária formada pelo número do pedido e o código do produto</t>
  </si>
  <si>
    <t>PRODUTO</t>
  </si>
  <si>
    <t>DESCRIÇÃO</t>
  </si>
  <si>
    <t>PREÇO UNIT.</t>
  </si>
  <si>
    <t xml:space="preserve">Uma entida estará na 2FN se, além de estar na 1FN, todos os seus atibutos são totalmente dependentes da chave composta ou concatenada. Isto significa que atributos que são parcialmente depedentes devem ser removidos. </t>
  </si>
  <si>
    <t>ENTIDADE: PRODUTOS</t>
  </si>
  <si>
    <t>ENTIDADE: PEDIDO-ITENS</t>
  </si>
  <si>
    <t>Para uma entidade estar na 3FN, é preciso que ela já esteja na 2FN, e não possua nenhum atibuto dependente de outro que não faz parte da chave primária (dependência transitiva). Os dados de cliente dependem apenas de COD CLIENTE e devem ser removidos</t>
  </si>
  <si>
    <t>001</t>
  </si>
  <si>
    <t>JOÃO DA COSTA</t>
  </si>
  <si>
    <t>ENTIDADE: CLIENTES</t>
  </si>
  <si>
    <t>ENTIDADE: VENDEDORES</t>
  </si>
  <si>
    <t>ENTIDADE: PEDIDOS</t>
  </si>
  <si>
    <t>CODIGO PRODUTO</t>
  </si>
  <si>
    <t>CODIGO FORNECEDOR</t>
  </si>
  <si>
    <t>015</t>
  </si>
  <si>
    <t>341</t>
  </si>
  <si>
    <t>187</t>
  </si>
  <si>
    <t>94</t>
  </si>
  <si>
    <r>
      <t xml:space="preserve">Da forma como está, embora a normalização se encontre na 3FN, ainda apresenta uma dependência multivalorada entre os pares de atributos </t>
    </r>
    <r>
      <rPr>
        <b/>
        <sz val="16"/>
        <color theme="1"/>
        <rFont val="Aptos Narrow"/>
        <family val="2"/>
        <scheme val="minor"/>
      </rPr>
      <t>Código Categoria/Código Produto e Código Categoria/Código Fornecedor</t>
    </r>
    <r>
      <rPr>
        <sz val="16"/>
        <color theme="1"/>
        <rFont val="Aptos Narrow"/>
        <family val="2"/>
        <scheme val="minor"/>
      </rPr>
      <t xml:space="preserve">. O que devemos fazer é criar duas entidades nas quais o atributo comum seja </t>
    </r>
    <r>
      <rPr>
        <b/>
        <sz val="16"/>
        <color theme="1"/>
        <rFont val="Aptos Narrow"/>
        <family val="2"/>
        <scheme val="minor"/>
      </rPr>
      <t>Código Categoria.</t>
    </r>
    <r>
      <rPr>
        <sz val="16"/>
        <color theme="1"/>
        <rFont val="Aptos Narrow"/>
        <family val="2"/>
        <scheme val="minor"/>
      </rPr>
      <t xml:space="preserve">  </t>
    </r>
  </si>
  <si>
    <t>CÓDIGO CATEGORIA</t>
  </si>
  <si>
    <t>ENTIDADE: CATEGORIA-PRODUTO</t>
  </si>
  <si>
    <t>ENTIDADE: CATEGORIA-FORNECEDOR</t>
  </si>
  <si>
    <t>PEDIDO DE COMPRA</t>
  </si>
  <si>
    <t>FORNECEDOR</t>
  </si>
  <si>
    <t>PADRÃO B2</t>
  </si>
  <si>
    <t>POSTE DUPLO T 9M</t>
  </si>
  <si>
    <t>108</t>
  </si>
  <si>
    <t>Se desmembramos essa relação, chegamos às seguintes entidades:</t>
  </si>
  <si>
    <t>Se realizarmos a junção dessas três entidades, utilizando o atributo PEDIDO DE COMPRA como determinante, teremos o seguinte resultado:</t>
  </si>
  <si>
    <t>Note que o penúltimo registro : (destacado na cor cinza) não havia na relação original. Se a junção for efetuada tomando o atributo FORNRCRDOR como determinante, o resultado será como segue:</t>
  </si>
  <si>
    <t>Novamente um registro que não existia na relação original é gerado. Durante o processo de normalização de dados percebemos duas coisas acontecerem de modo simultâneo: o número de campos das tabelas diminuirá enquanto o número de tabelas aumentará. Isso não é motivo de preocupação, pois um projeto de banco de dados bem elaborado geralmente contém um número grande de tabelas com estruturas bastante simples.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</si>
</sst>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quot;\ * #,##0.00_-;\-&quot;R$&quot;\ * #,##0.00_-;_-&quot;R$&quot;\ * &quot;-&quot;??_-;_-@_-"/>
    <numFmt numFmtId="43" formatCode="_-* #,##0.00_-;\-* #,##0.00_-;_-* &quot;-&quot;??_-;_-@_-"/>
  </numFmts>
  <fonts count="13" x14ac:knownFonts="1">
    <font>
      <sz val="11"/>
      <color theme="1"/>
      <name val="Aptos Narrow"/>
      <family val="2"/>
      <scheme val="minor"/>
    </font>
    <font>
      <sz val="11"/>
      <color theme="1"/>
      <name val="Aptos Narrow"/>
      <family val="2"/>
      <scheme val="minor"/>
    </font>
    <font>
      <b/>
      <sz val="11"/>
      <color theme="1"/>
      <name val="Aptos Narrow"/>
      <family val="2"/>
      <scheme val="minor"/>
    </font>
    <font>
      <sz val="16"/>
      <color theme="1"/>
      <name val="Aptos Narrow"/>
      <family val="2"/>
      <scheme val="minor"/>
    </font>
    <font>
      <sz val="12"/>
      <color theme="1"/>
      <name val="Aptos Narrow"/>
      <family val="2"/>
      <scheme val="minor"/>
    </font>
    <font>
      <sz val="9"/>
      <color theme="1"/>
      <name val="Aptos Narrow"/>
      <family val="2"/>
      <scheme val="minor"/>
    </font>
    <font>
      <sz val="8"/>
      <name val="Aptos Narrow"/>
      <family val="2"/>
      <scheme val="minor"/>
    </font>
    <font>
      <b/>
      <u/>
      <sz val="16"/>
      <color theme="1"/>
      <name val="Aptos Narrow"/>
      <family val="2"/>
      <scheme val="minor"/>
    </font>
    <font>
      <b/>
      <sz val="16"/>
      <color theme="1"/>
      <name val="Aptos Narrow"/>
      <family val="2"/>
      <scheme val="minor"/>
    </font>
    <font>
      <sz val="14"/>
      <color theme="1"/>
      <name val="Aptos Narrow"/>
      <family val="2"/>
      <scheme val="minor"/>
    </font>
    <font>
      <b/>
      <u/>
      <sz val="14"/>
      <color theme="1"/>
      <name val="Aptos Narrow"/>
      <family val="2"/>
      <scheme val="minor"/>
    </font>
    <font>
      <b/>
      <sz val="12"/>
      <color theme="1"/>
      <name val="Aptos Narrow"/>
      <family val="2"/>
      <scheme val="minor"/>
    </font>
    <font>
      <b/>
      <u/>
      <sz val="12"/>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78">
    <xf numFmtId="0" fontId="0" fillId="0" borderId="0" xfId="0"/>
    <xf numFmtId="0" fontId="0" fillId="0" borderId="0" xfId="0" applyAlignment="1">
      <alignment horizontal="center"/>
    </xf>
    <xf numFmtId="0" fontId="3" fillId="0" borderId="1" xfId="0" applyFont="1" applyBorder="1"/>
    <xf numFmtId="0" fontId="3" fillId="0" borderId="1" xfId="0" applyFont="1" applyBorder="1" applyAlignment="1">
      <alignment horizontal="center"/>
    </xf>
    <xf numFmtId="0" fontId="3" fillId="0" borderId="1" xfId="0" applyFont="1" applyBorder="1" applyAlignment="1">
      <alignment horizontal="left" wrapText="1"/>
    </xf>
    <xf numFmtId="2" fontId="3" fillId="0" borderId="1" xfId="1" applyNumberFormat="1" applyFont="1" applyBorder="1"/>
    <xf numFmtId="0" fontId="3" fillId="0" borderId="1" xfId="0" applyFont="1" applyBorder="1" applyAlignment="1">
      <alignment wrapText="1"/>
    </xf>
    <xf numFmtId="2" fontId="3" fillId="0" borderId="1" xfId="0" applyNumberFormat="1" applyFont="1" applyBorder="1"/>
    <xf numFmtId="0" fontId="4" fillId="0" borderId="0" xfId="0" applyFont="1"/>
    <xf numFmtId="0" fontId="3" fillId="0" borderId="0" xfId="0" applyFont="1"/>
    <xf numFmtId="0" fontId="3" fillId="0" borderId="0" xfId="0" applyFont="1" applyAlignment="1">
      <alignment wrapText="1"/>
    </xf>
    <xf numFmtId="0" fontId="3" fillId="0" borderId="1" xfId="0" applyFont="1" applyBorder="1" applyAlignment="1">
      <alignment horizontal="center" wrapText="1"/>
    </xf>
    <xf numFmtId="0" fontId="0" fillId="0" borderId="2" xfId="0" applyBorder="1" applyAlignment="1">
      <alignment horizontal="center"/>
    </xf>
    <xf numFmtId="0" fontId="3" fillId="0" borderId="0" xfId="0" applyFont="1" applyAlignment="1">
      <alignment horizontal="center" wrapText="1"/>
    </xf>
    <xf numFmtId="2" fontId="3" fillId="0" borderId="0" xfId="1" applyNumberFormat="1" applyFont="1" applyBorder="1"/>
    <xf numFmtId="0" fontId="3" fillId="0" borderId="0" xfId="0" applyFont="1" applyAlignment="1">
      <alignment horizontal="left" wrapText="1"/>
    </xf>
    <xf numFmtId="0" fontId="7" fillId="0" borderId="1" xfId="0" applyFont="1" applyBorder="1" applyAlignment="1">
      <alignment horizontal="center" wrapText="1"/>
    </xf>
    <xf numFmtId="0" fontId="8" fillId="0" borderId="0" xfId="0" applyFont="1"/>
    <xf numFmtId="0" fontId="2" fillId="0" borderId="0" xfId="0" applyFont="1"/>
    <xf numFmtId="0" fontId="5" fillId="0" borderId="1" xfId="0" applyFont="1" applyBorder="1" applyAlignment="1">
      <alignment wrapText="1"/>
    </xf>
    <xf numFmtId="0" fontId="9" fillId="0" borderId="1" xfId="0" applyFont="1" applyBorder="1" applyAlignment="1">
      <alignment horizontal="center" wrapText="1"/>
    </xf>
    <xf numFmtId="0" fontId="10" fillId="0" borderId="1" xfId="0" applyFont="1" applyBorder="1" applyAlignment="1">
      <alignment horizontal="center" wrapText="1"/>
    </xf>
    <xf numFmtId="0" fontId="4" fillId="0" borderId="1" xfId="0" applyFont="1" applyBorder="1" applyAlignment="1">
      <alignment horizontal="center"/>
    </xf>
    <xf numFmtId="0" fontId="4" fillId="0" borderId="1" xfId="0" quotePrefix="1" applyFont="1" applyBorder="1" applyAlignment="1">
      <alignment horizontal="center"/>
    </xf>
    <xf numFmtId="0" fontId="4" fillId="0" borderId="1" xfId="0" applyFont="1" applyBorder="1"/>
    <xf numFmtId="0" fontId="4" fillId="0" borderId="1" xfId="0" applyFont="1" applyBorder="1" applyAlignment="1">
      <alignment wrapText="1"/>
    </xf>
    <xf numFmtId="0" fontId="11" fillId="0" borderId="0" xfId="0" applyFont="1"/>
    <xf numFmtId="0" fontId="12" fillId="0" borderId="1" xfId="0" applyFont="1" applyBorder="1" applyAlignment="1">
      <alignment horizontal="center" wrapText="1"/>
    </xf>
    <xf numFmtId="0" fontId="4" fillId="0" borderId="1" xfId="0" applyFont="1" applyBorder="1" applyAlignment="1">
      <alignment horizontal="center" wrapText="1"/>
    </xf>
    <xf numFmtId="0" fontId="4" fillId="0" borderId="0" xfId="0" applyFont="1" applyAlignment="1">
      <alignment wrapText="1"/>
    </xf>
    <xf numFmtId="0" fontId="4" fillId="0" borderId="0" xfId="0" applyFont="1" applyAlignment="1">
      <alignment horizontal="center" wrapText="1"/>
    </xf>
    <xf numFmtId="0" fontId="12" fillId="0" borderId="3" xfId="0" applyFont="1" applyBorder="1" applyAlignment="1">
      <alignment horizontal="center" wrapText="1"/>
    </xf>
    <xf numFmtId="0" fontId="4" fillId="0" borderId="3" xfId="0" applyFont="1" applyBorder="1" applyAlignment="1">
      <alignment horizontal="center" wrapText="1"/>
    </xf>
    <xf numFmtId="2" fontId="4" fillId="0" borderId="0" xfId="1" applyNumberFormat="1" applyFont="1" applyBorder="1" applyAlignment="1">
      <alignment horizontal="right"/>
    </xf>
    <xf numFmtId="0" fontId="3" fillId="2" borderId="1" xfId="0" applyFont="1" applyFill="1" applyBorder="1" applyAlignment="1">
      <alignment horizontal="center" wrapText="1"/>
    </xf>
    <xf numFmtId="2" fontId="3" fillId="2" borderId="1" xfId="1" applyNumberFormat="1" applyFont="1" applyFill="1" applyBorder="1"/>
    <xf numFmtId="0" fontId="3" fillId="3" borderId="1" xfId="0" applyFont="1" applyFill="1" applyBorder="1" applyAlignment="1">
      <alignment horizontal="center" wrapText="1"/>
    </xf>
    <xf numFmtId="2" fontId="3" fillId="3" borderId="1" xfId="1" applyNumberFormat="1" applyFont="1" applyFill="1" applyBorder="1"/>
    <xf numFmtId="44" fontId="4" fillId="0" borderId="0" xfId="1" applyFont="1" applyBorder="1" applyAlignment="1">
      <alignment horizontal="center"/>
    </xf>
    <xf numFmtId="0" fontId="4" fillId="0" borderId="0" xfId="0" applyFont="1" applyAlignment="1">
      <alignment horizontal="center"/>
    </xf>
    <xf numFmtId="0" fontId="3" fillId="0" borderId="4" xfId="0" quotePrefix="1" applyFont="1" applyBorder="1" applyAlignment="1">
      <alignment horizontal="center"/>
    </xf>
    <xf numFmtId="49" fontId="3" fillId="0" borderId="1" xfId="1" applyNumberFormat="1" applyFont="1" applyBorder="1" applyAlignment="1">
      <alignment horizontal="center"/>
    </xf>
    <xf numFmtId="0" fontId="8" fillId="0" borderId="1" xfId="0" applyFont="1" applyBorder="1" applyAlignment="1">
      <alignment horizontal="center" wrapText="1"/>
    </xf>
    <xf numFmtId="0" fontId="8" fillId="0" borderId="3" xfId="0" applyFont="1" applyBorder="1" applyAlignment="1">
      <alignment horizontal="center" wrapText="1"/>
    </xf>
    <xf numFmtId="0" fontId="3" fillId="0" borderId="1" xfId="2" applyNumberFormat="1" applyFont="1" applyBorder="1" applyAlignment="1">
      <alignment horizontal="center"/>
    </xf>
    <xf numFmtId="0" fontId="3" fillId="0" borderId="1" xfId="1" applyNumberFormat="1" applyFont="1" applyBorder="1" applyAlignment="1">
      <alignment horizontal="center"/>
    </xf>
    <xf numFmtId="0" fontId="3" fillId="0" borderId="1" xfId="0" quotePrefix="1" applyFont="1" applyBorder="1" applyAlignment="1">
      <alignment horizontal="center"/>
    </xf>
    <xf numFmtId="0" fontId="3" fillId="0" borderId="0" xfId="0" quotePrefix="1" applyFont="1" applyAlignment="1">
      <alignment horizontal="center"/>
    </xf>
    <xf numFmtId="0" fontId="3" fillId="0" borderId="0" xfId="0" applyFont="1" applyAlignment="1">
      <alignment horizontal="center"/>
    </xf>
    <xf numFmtId="0" fontId="3" fillId="4" borderId="1" xfId="0" applyFont="1" applyFill="1" applyBorder="1" applyAlignment="1">
      <alignment horizontal="center"/>
    </xf>
    <xf numFmtId="0" fontId="3" fillId="4" borderId="1" xfId="0" quotePrefix="1" applyFont="1" applyFill="1" applyBorder="1" applyAlignment="1">
      <alignment horizontal="center"/>
    </xf>
    <xf numFmtId="0" fontId="3" fillId="4" borderId="1" xfId="1" applyNumberFormat="1" applyFont="1" applyFill="1" applyBorder="1" applyAlignment="1">
      <alignment horizontal="center"/>
    </xf>
    <xf numFmtId="0" fontId="3" fillId="0" borderId="1" xfId="0" applyFont="1" applyBorder="1" applyAlignment="1">
      <alignment wrapText="1"/>
    </xf>
    <xf numFmtId="0" fontId="3" fillId="0" borderId="1" xfId="0" applyFont="1" applyBorder="1"/>
    <xf numFmtId="0" fontId="3" fillId="0" borderId="1" xfId="0" applyFont="1" applyBorder="1" applyAlignment="1">
      <alignment horizontal="left" wrapText="1"/>
    </xf>
    <xf numFmtId="0" fontId="3" fillId="0" borderId="1" xfId="0" applyFont="1" applyBorder="1" applyAlignment="1">
      <alignment horizontal="left"/>
    </xf>
    <xf numFmtId="0" fontId="0" fillId="0" borderId="1" xfId="0" applyBorder="1" applyAlignment="1">
      <alignment horizontal="left"/>
    </xf>
    <xf numFmtId="0" fontId="3" fillId="0" borderId="0" xfId="0" applyFont="1" applyAlignment="1">
      <alignment wrapText="1"/>
    </xf>
    <xf numFmtId="0" fontId="3" fillId="0" borderId="1" xfId="0" applyFont="1" applyBorder="1" applyAlignment="1">
      <alignment horizontal="center" wrapText="1"/>
    </xf>
    <xf numFmtId="0" fontId="0" fillId="0" borderId="1" xfId="0" applyBorder="1"/>
    <xf numFmtId="2" fontId="3" fillId="0" borderId="1" xfId="1" applyNumberFormat="1" applyFont="1" applyBorder="1" applyAlignment="1">
      <alignment horizontal="right"/>
    </xf>
    <xf numFmtId="0" fontId="7" fillId="0" borderId="1" xfId="0" applyFont="1" applyBorder="1" applyAlignment="1">
      <alignment horizontal="center" wrapText="1"/>
    </xf>
    <xf numFmtId="0" fontId="3" fillId="0" borderId="1" xfId="0" applyFont="1" applyBorder="1" applyAlignment="1">
      <alignment horizontal="center"/>
    </xf>
    <xf numFmtId="0" fontId="3" fillId="0" borderId="4" xfId="0" applyFont="1" applyBorder="1" applyAlignment="1">
      <alignment horizontal="center" wrapText="1"/>
    </xf>
    <xf numFmtId="0" fontId="3" fillId="0" borderId="5" xfId="0" applyFont="1" applyBorder="1" applyAlignment="1">
      <alignment horizontal="center" wrapText="1"/>
    </xf>
    <xf numFmtId="0" fontId="4" fillId="0" borderId="0" xfId="0" applyFont="1" applyAlignment="1">
      <alignment horizontal="center" wrapText="1"/>
    </xf>
    <xf numFmtId="0" fontId="4" fillId="0" borderId="1" xfId="0" applyFont="1" applyBorder="1" applyAlignment="1">
      <alignment horizontal="center"/>
    </xf>
    <xf numFmtId="0" fontId="4" fillId="0" borderId="1" xfId="0" applyFont="1" applyBorder="1" applyAlignment="1">
      <alignment horizontal="left"/>
    </xf>
    <xf numFmtId="2" fontId="4" fillId="0" borderId="1" xfId="1" applyNumberFormat="1" applyFont="1" applyBorder="1" applyAlignment="1">
      <alignment horizontal="right"/>
    </xf>
    <xf numFmtId="0" fontId="4" fillId="0" borderId="1" xfId="0" applyFont="1" applyBorder="1" applyAlignment="1">
      <alignment horizontal="center" wrapText="1"/>
    </xf>
    <xf numFmtId="0" fontId="4" fillId="0" borderId="1" xfId="0" applyFont="1" applyBorder="1"/>
    <xf numFmtId="44" fontId="4" fillId="0" borderId="1" xfId="1" applyFont="1" applyBorder="1" applyAlignment="1">
      <alignment horizontal="center"/>
    </xf>
    <xf numFmtId="0" fontId="12" fillId="0" borderId="1" xfId="0" applyFont="1" applyBorder="1" applyAlignment="1">
      <alignment horizontal="center" wrapText="1"/>
    </xf>
    <xf numFmtId="0" fontId="4" fillId="0" borderId="3" xfId="0" applyFont="1" applyBorder="1" applyAlignment="1">
      <alignment horizontal="center" wrapText="1"/>
    </xf>
    <xf numFmtId="0" fontId="4" fillId="0" borderId="1" xfId="0" quotePrefix="1" applyFont="1" applyBorder="1" applyAlignment="1">
      <alignment horizontal="center"/>
    </xf>
    <xf numFmtId="0" fontId="3" fillId="0" borderId="0" xfId="0" applyFont="1" applyAlignment="1">
      <alignment horizontal="left" vertical="top" wrapText="1"/>
    </xf>
    <xf numFmtId="0" fontId="3" fillId="0" borderId="0" xfId="0" applyFont="1" applyAlignment="1">
      <alignment horizontal="left"/>
    </xf>
    <xf numFmtId="0" fontId="3" fillId="0" borderId="0" xfId="0" applyFont="1" applyAlignment="1">
      <alignment horizontal="left" wrapText="1"/>
    </xf>
  </cellXfs>
  <cellStyles count="3">
    <cellStyle name="Moeda" xfId="1" builtinId="4"/>
    <cellStyle name="Normal" xfId="0" builtinId="0"/>
    <cellStyle name="Vírgula" xfId="2"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xdr:col>
      <xdr:colOff>361950</xdr:colOff>
      <xdr:row>5</xdr:row>
      <xdr:rowOff>19050</xdr:rowOff>
    </xdr:from>
    <xdr:to>
      <xdr:col>1</xdr:col>
      <xdr:colOff>371475</xdr:colOff>
      <xdr:row>10</xdr:row>
      <xdr:rowOff>0</xdr:rowOff>
    </xdr:to>
    <xdr:cxnSp macro="">
      <xdr:nvCxnSpPr>
        <xdr:cNvPr id="6" name="Conector reto 5">
          <a:extLst>
            <a:ext uri="{FF2B5EF4-FFF2-40B4-BE49-F238E27FC236}">
              <a16:creationId xmlns:a16="http://schemas.microsoft.com/office/drawing/2014/main" id="{17448AF7-09B4-52E1-27CF-D0D6CD165647}"/>
            </a:ext>
          </a:extLst>
        </xdr:cNvPr>
        <xdr:cNvCxnSpPr/>
      </xdr:nvCxnSpPr>
      <xdr:spPr>
        <a:xfrm flipH="1">
          <a:off x="971550" y="962025"/>
          <a:ext cx="9525" cy="158115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581025</xdr:colOff>
      <xdr:row>6</xdr:row>
      <xdr:rowOff>0</xdr:rowOff>
    </xdr:from>
    <xdr:to>
      <xdr:col>6</xdr:col>
      <xdr:colOff>466725</xdr:colOff>
      <xdr:row>6</xdr:row>
      <xdr:rowOff>0</xdr:rowOff>
    </xdr:to>
    <xdr:cxnSp macro="">
      <xdr:nvCxnSpPr>
        <xdr:cNvPr id="9" name="Conector reto 8">
          <a:extLst>
            <a:ext uri="{FF2B5EF4-FFF2-40B4-BE49-F238E27FC236}">
              <a16:creationId xmlns:a16="http://schemas.microsoft.com/office/drawing/2014/main" id="{577BFDFE-9214-9244-53B4-D99372A14CE0}"/>
            </a:ext>
          </a:extLst>
        </xdr:cNvPr>
        <xdr:cNvCxnSpPr/>
      </xdr:nvCxnSpPr>
      <xdr:spPr>
        <a:xfrm>
          <a:off x="1914525" y="1209675"/>
          <a:ext cx="339090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723900</xdr:colOff>
      <xdr:row>5</xdr:row>
      <xdr:rowOff>314325</xdr:rowOff>
    </xdr:from>
    <xdr:to>
      <xdr:col>8</xdr:col>
      <xdr:colOff>542925</xdr:colOff>
      <xdr:row>5</xdr:row>
      <xdr:rowOff>314325</xdr:rowOff>
    </xdr:to>
    <xdr:cxnSp macro="">
      <xdr:nvCxnSpPr>
        <xdr:cNvPr id="12" name="Conector reto 11">
          <a:extLst>
            <a:ext uri="{FF2B5EF4-FFF2-40B4-BE49-F238E27FC236}">
              <a16:creationId xmlns:a16="http://schemas.microsoft.com/office/drawing/2014/main" id="{19367188-9AEF-102A-1696-6F5C4839D242}"/>
            </a:ext>
          </a:extLst>
        </xdr:cNvPr>
        <xdr:cNvCxnSpPr/>
      </xdr:nvCxnSpPr>
      <xdr:spPr>
        <a:xfrm>
          <a:off x="6419850" y="2333625"/>
          <a:ext cx="85725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352425</xdr:colOff>
      <xdr:row>10</xdr:row>
      <xdr:rowOff>9525</xdr:rowOff>
    </xdr:from>
    <xdr:to>
      <xdr:col>6</xdr:col>
      <xdr:colOff>447675</xdr:colOff>
      <xdr:row>10</xdr:row>
      <xdr:rowOff>9525</xdr:rowOff>
    </xdr:to>
    <xdr:cxnSp macro="">
      <xdr:nvCxnSpPr>
        <xdr:cNvPr id="14" name="Conector reto 13">
          <a:extLst>
            <a:ext uri="{FF2B5EF4-FFF2-40B4-BE49-F238E27FC236}">
              <a16:creationId xmlns:a16="http://schemas.microsoft.com/office/drawing/2014/main" id="{79EB9645-F81A-40D1-944E-4E07F1EB3E79}"/>
            </a:ext>
          </a:extLst>
        </xdr:cNvPr>
        <xdr:cNvCxnSpPr/>
      </xdr:nvCxnSpPr>
      <xdr:spPr>
        <a:xfrm>
          <a:off x="962025" y="2552700"/>
          <a:ext cx="432435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561975</xdr:colOff>
      <xdr:row>5</xdr:row>
      <xdr:rowOff>0</xdr:rowOff>
    </xdr:from>
    <xdr:to>
      <xdr:col>3</xdr:col>
      <xdr:colOff>561975</xdr:colOff>
      <xdr:row>6</xdr:row>
      <xdr:rowOff>9525</xdr:rowOff>
    </xdr:to>
    <xdr:cxnSp macro="">
      <xdr:nvCxnSpPr>
        <xdr:cNvPr id="16" name="Conector de Seta Reta 15">
          <a:extLst>
            <a:ext uri="{FF2B5EF4-FFF2-40B4-BE49-F238E27FC236}">
              <a16:creationId xmlns:a16="http://schemas.microsoft.com/office/drawing/2014/main" id="{67D8D385-568E-6D8B-41BE-41DB99081601}"/>
            </a:ext>
          </a:extLst>
        </xdr:cNvPr>
        <xdr:cNvCxnSpPr/>
      </xdr:nvCxnSpPr>
      <xdr:spPr>
        <a:xfrm flipV="1">
          <a:off x="2676525" y="942975"/>
          <a:ext cx="0" cy="2762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400050</xdr:colOff>
      <xdr:row>9</xdr:row>
      <xdr:rowOff>0</xdr:rowOff>
    </xdr:from>
    <xdr:to>
      <xdr:col>5</xdr:col>
      <xdr:colOff>409575</xdr:colOff>
      <xdr:row>10</xdr:row>
      <xdr:rowOff>0</xdr:rowOff>
    </xdr:to>
    <xdr:cxnSp macro="">
      <xdr:nvCxnSpPr>
        <xdr:cNvPr id="17" name="Conector de Seta Reta 16">
          <a:extLst>
            <a:ext uri="{FF2B5EF4-FFF2-40B4-BE49-F238E27FC236}">
              <a16:creationId xmlns:a16="http://schemas.microsoft.com/office/drawing/2014/main" id="{7E646242-41AA-4684-BD3E-856700C268D1}"/>
            </a:ext>
          </a:extLst>
        </xdr:cNvPr>
        <xdr:cNvCxnSpPr/>
      </xdr:nvCxnSpPr>
      <xdr:spPr>
        <a:xfrm flipH="1" flipV="1">
          <a:off x="4362450" y="3533775"/>
          <a:ext cx="9525" cy="2667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428625</xdr:colOff>
      <xdr:row>4</xdr:row>
      <xdr:rowOff>542925</xdr:rowOff>
    </xdr:from>
    <xdr:to>
      <xdr:col>4</xdr:col>
      <xdr:colOff>428625</xdr:colOff>
      <xdr:row>6</xdr:row>
      <xdr:rowOff>9525</xdr:rowOff>
    </xdr:to>
    <xdr:cxnSp macro="">
      <xdr:nvCxnSpPr>
        <xdr:cNvPr id="18" name="Conector de Seta Reta 17">
          <a:extLst>
            <a:ext uri="{FF2B5EF4-FFF2-40B4-BE49-F238E27FC236}">
              <a16:creationId xmlns:a16="http://schemas.microsoft.com/office/drawing/2014/main" id="{7826D619-2D7C-4509-A507-E16501168E39}"/>
            </a:ext>
          </a:extLst>
        </xdr:cNvPr>
        <xdr:cNvCxnSpPr/>
      </xdr:nvCxnSpPr>
      <xdr:spPr>
        <a:xfrm flipV="1">
          <a:off x="3609975" y="2000250"/>
          <a:ext cx="0" cy="5905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466725</xdr:colOff>
      <xdr:row>4</xdr:row>
      <xdr:rowOff>552450</xdr:rowOff>
    </xdr:from>
    <xdr:to>
      <xdr:col>5</xdr:col>
      <xdr:colOff>466725</xdr:colOff>
      <xdr:row>6</xdr:row>
      <xdr:rowOff>0</xdr:rowOff>
    </xdr:to>
    <xdr:cxnSp macro="">
      <xdr:nvCxnSpPr>
        <xdr:cNvPr id="19" name="Conector de Seta Reta 18">
          <a:extLst>
            <a:ext uri="{FF2B5EF4-FFF2-40B4-BE49-F238E27FC236}">
              <a16:creationId xmlns:a16="http://schemas.microsoft.com/office/drawing/2014/main" id="{6BF2D849-5597-4025-81E5-34A7D64EA962}"/>
            </a:ext>
          </a:extLst>
        </xdr:cNvPr>
        <xdr:cNvCxnSpPr/>
      </xdr:nvCxnSpPr>
      <xdr:spPr>
        <a:xfrm flipV="1">
          <a:off x="4429125" y="933450"/>
          <a:ext cx="0" cy="2762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466725</xdr:colOff>
      <xdr:row>4</xdr:row>
      <xdr:rowOff>552450</xdr:rowOff>
    </xdr:from>
    <xdr:to>
      <xdr:col>6</xdr:col>
      <xdr:colOff>466725</xdr:colOff>
      <xdr:row>6</xdr:row>
      <xdr:rowOff>0</xdr:rowOff>
    </xdr:to>
    <xdr:cxnSp macro="">
      <xdr:nvCxnSpPr>
        <xdr:cNvPr id="20" name="Conector de Seta Reta 19">
          <a:extLst>
            <a:ext uri="{FF2B5EF4-FFF2-40B4-BE49-F238E27FC236}">
              <a16:creationId xmlns:a16="http://schemas.microsoft.com/office/drawing/2014/main" id="{216817CB-7814-4912-B94B-9AB6D32A92BD}"/>
            </a:ext>
          </a:extLst>
        </xdr:cNvPr>
        <xdr:cNvCxnSpPr/>
      </xdr:nvCxnSpPr>
      <xdr:spPr>
        <a:xfrm flipV="1">
          <a:off x="5305425" y="933450"/>
          <a:ext cx="0" cy="2762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542925</xdr:colOff>
      <xdr:row>5</xdr:row>
      <xdr:rowOff>0</xdr:rowOff>
    </xdr:from>
    <xdr:to>
      <xdr:col>8</xdr:col>
      <xdr:colOff>542925</xdr:colOff>
      <xdr:row>5</xdr:row>
      <xdr:rowOff>323850</xdr:rowOff>
    </xdr:to>
    <xdr:cxnSp macro="">
      <xdr:nvCxnSpPr>
        <xdr:cNvPr id="21" name="Conector de Seta Reta 20">
          <a:extLst>
            <a:ext uri="{FF2B5EF4-FFF2-40B4-BE49-F238E27FC236}">
              <a16:creationId xmlns:a16="http://schemas.microsoft.com/office/drawing/2014/main" id="{CABCB394-578D-4B31-925B-CE4C9284F5EF}"/>
            </a:ext>
          </a:extLst>
        </xdr:cNvPr>
        <xdr:cNvCxnSpPr/>
      </xdr:nvCxnSpPr>
      <xdr:spPr>
        <a:xfrm flipV="1">
          <a:off x="7277100" y="2019300"/>
          <a:ext cx="0" cy="3238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400050</xdr:colOff>
      <xdr:row>9</xdr:row>
      <xdr:rowOff>19050</xdr:rowOff>
    </xdr:from>
    <xdr:to>
      <xdr:col>2</xdr:col>
      <xdr:colOff>400050</xdr:colOff>
      <xdr:row>10</xdr:row>
      <xdr:rowOff>0</xdr:rowOff>
    </xdr:to>
    <xdr:cxnSp macro="">
      <xdr:nvCxnSpPr>
        <xdr:cNvPr id="22" name="Conector de Seta Reta 21">
          <a:extLst>
            <a:ext uri="{FF2B5EF4-FFF2-40B4-BE49-F238E27FC236}">
              <a16:creationId xmlns:a16="http://schemas.microsoft.com/office/drawing/2014/main" id="{FF5EA1E2-7AC8-4AF8-A94C-4F616D89B247}"/>
            </a:ext>
          </a:extLst>
        </xdr:cNvPr>
        <xdr:cNvCxnSpPr/>
      </xdr:nvCxnSpPr>
      <xdr:spPr>
        <a:xfrm flipV="1">
          <a:off x="1733550" y="3552825"/>
          <a:ext cx="0" cy="2476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371475</xdr:colOff>
      <xdr:row>9</xdr:row>
      <xdr:rowOff>19050</xdr:rowOff>
    </xdr:from>
    <xdr:to>
      <xdr:col>4</xdr:col>
      <xdr:colOff>371475</xdr:colOff>
      <xdr:row>10</xdr:row>
      <xdr:rowOff>0</xdr:rowOff>
    </xdr:to>
    <xdr:cxnSp macro="">
      <xdr:nvCxnSpPr>
        <xdr:cNvPr id="23" name="Conector de Seta Reta 22">
          <a:extLst>
            <a:ext uri="{FF2B5EF4-FFF2-40B4-BE49-F238E27FC236}">
              <a16:creationId xmlns:a16="http://schemas.microsoft.com/office/drawing/2014/main" id="{BE049B7A-1680-4B6F-8380-D644B672200B}"/>
            </a:ext>
          </a:extLst>
        </xdr:cNvPr>
        <xdr:cNvCxnSpPr/>
      </xdr:nvCxnSpPr>
      <xdr:spPr>
        <a:xfrm flipV="1">
          <a:off x="3552825" y="3552825"/>
          <a:ext cx="0" cy="2476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514350</xdr:colOff>
      <xdr:row>9</xdr:row>
      <xdr:rowOff>9525</xdr:rowOff>
    </xdr:from>
    <xdr:to>
      <xdr:col>3</xdr:col>
      <xdr:colOff>514350</xdr:colOff>
      <xdr:row>9</xdr:row>
      <xdr:rowOff>257175</xdr:rowOff>
    </xdr:to>
    <xdr:cxnSp macro="">
      <xdr:nvCxnSpPr>
        <xdr:cNvPr id="24" name="Conector de Seta Reta 23">
          <a:extLst>
            <a:ext uri="{FF2B5EF4-FFF2-40B4-BE49-F238E27FC236}">
              <a16:creationId xmlns:a16="http://schemas.microsoft.com/office/drawing/2014/main" id="{2AEC300C-0634-47EB-9558-848696D1DE4E}"/>
            </a:ext>
          </a:extLst>
        </xdr:cNvPr>
        <xdr:cNvCxnSpPr/>
      </xdr:nvCxnSpPr>
      <xdr:spPr>
        <a:xfrm flipV="1">
          <a:off x="2628900" y="3543300"/>
          <a:ext cx="0" cy="2476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371475</xdr:colOff>
      <xdr:row>5</xdr:row>
      <xdr:rowOff>0</xdr:rowOff>
    </xdr:from>
    <xdr:to>
      <xdr:col>7</xdr:col>
      <xdr:colOff>371475</xdr:colOff>
      <xdr:row>7</xdr:row>
      <xdr:rowOff>0</xdr:rowOff>
    </xdr:to>
    <xdr:cxnSp macro="">
      <xdr:nvCxnSpPr>
        <xdr:cNvPr id="25" name="Conector de Seta Reta 24">
          <a:extLst>
            <a:ext uri="{FF2B5EF4-FFF2-40B4-BE49-F238E27FC236}">
              <a16:creationId xmlns:a16="http://schemas.microsoft.com/office/drawing/2014/main" id="{455E9515-21F3-4C27-82C5-5BA530E11F3A}"/>
            </a:ext>
          </a:extLst>
        </xdr:cNvPr>
        <xdr:cNvCxnSpPr/>
      </xdr:nvCxnSpPr>
      <xdr:spPr>
        <a:xfrm flipV="1">
          <a:off x="6067425" y="942975"/>
          <a:ext cx="0" cy="5334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438150</xdr:colOff>
      <xdr:row>9</xdr:row>
      <xdr:rowOff>9525</xdr:rowOff>
    </xdr:from>
    <xdr:to>
      <xdr:col>6</xdr:col>
      <xdr:colOff>438150</xdr:colOff>
      <xdr:row>10</xdr:row>
      <xdr:rowOff>19050</xdr:rowOff>
    </xdr:to>
    <xdr:cxnSp macro="">
      <xdr:nvCxnSpPr>
        <xdr:cNvPr id="26" name="Conector de Seta Reta 25">
          <a:extLst>
            <a:ext uri="{FF2B5EF4-FFF2-40B4-BE49-F238E27FC236}">
              <a16:creationId xmlns:a16="http://schemas.microsoft.com/office/drawing/2014/main" id="{8057FA9C-7C9A-4632-901F-E09CB9AC9BB8}"/>
            </a:ext>
          </a:extLst>
        </xdr:cNvPr>
        <xdr:cNvCxnSpPr/>
      </xdr:nvCxnSpPr>
      <xdr:spPr>
        <a:xfrm flipV="1">
          <a:off x="5276850" y="2286000"/>
          <a:ext cx="0" cy="2762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581025</xdr:colOff>
      <xdr:row>5</xdr:row>
      <xdr:rowOff>9525</xdr:rowOff>
    </xdr:from>
    <xdr:to>
      <xdr:col>2</xdr:col>
      <xdr:colOff>581025</xdr:colOff>
      <xdr:row>6</xdr:row>
      <xdr:rowOff>19050</xdr:rowOff>
    </xdr:to>
    <xdr:cxnSp macro="">
      <xdr:nvCxnSpPr>
        <xdr:cNvPr id="38" name="Conector reto 37">
          <a:extLst>
            <a:ext uri="{FF2B5EF4-FFF2-40B4-BE49-F238E27FC236}">
              <a16:creationId xmlns:a16="http://schemas.microsoft.com/office/drawing/2014/main" id="{EC143808-304C-80D3-C329-EBAB0EC659F8}"/>
            </a:ext>
          </a:extLst>
        </xdr:cNvPr>
        <xdr:cNvCxnSpPr/>
      </xdr:nvCxnSpPr>
      <xdr:spPr>
        <a:xfrm flipV="1">
          <a:off x="1914525" y="952500"/>
          <a:ext cx="0" cy="27622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723900</xdr:colOff>
      <xdr:row>5</xdr:row>
      <xdr:rowOff>19050</xdr:rowOff>
    </xdr:from>
    <xdr:to>
      <xdr:col>7</xdr:col>
      <xdr:colOff>723900</xdr:colOff>
      <xdr:row>5</xdr:row>
      <xdr:rowOff>323850</xdr:rowOff>
    </xdr:to>
    <xdr:cxnSp macro="">
      <xdr:nvCxnSpPr>
        <xdr:cNvPr id="40" name="Conector reto 39">
          <a:extLst>
            <a:ext uri="{FF2B5EF4-FFF2-40B4-BE49-F238E27FC236}">
              <a16:creationId xmlns:a16="http://schemas.microsoft.com/office/drawing/2014/main" id="{F16445D6-EC6E-2059-9312-7B10976977D3}"/>
            </a:ext>
          </a:extLst>
        </xdr:cNvPr>
        <xdr:cNvCxnSpPr/>
      </xdr:nvCxnSpPr>
      <xdr:spPr>
        <a:xfrm flipV="1">
          <a:off x="6419850" y="2038350"/>
          <a:ext cx="0" cy="3048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371475</xdr:colOff>
      <xdr:row>6</xdr:row>
      <xdr:rowOff>257175</xdr:rowOff>
    </xdr:from>
    <xdr:to>
      <xdr:col>7</xdr:col>
      <xdr:colOff>361950</xdr:colOff>
      <xdr:row>7</xdr:row>
      <xdr:rowOff>19050</xdr:rowOff>
    </xdr:to>
    <xdr:cxnSp macro="">
      <xdr:nvCxnSpPr>
        <xdr:cNvPr id="42" name="Conector reto 41">
          <a:extLst>
            <a:ext uri="{FF2B5EF4-FFF2-40B4-BE49-F238E27FC236}">
              <a16:creationId xmlns:a16="http://schemas.microsoft.com/office/drawing/2014/main" id="{C4344E39-B13A-415F-8896-95FA74AF0F59}"/>
            </a:ext>
          </a:extLst>
        </xdr:cNvPr>
        <xdr:cNvCxnSpPr/>
      </xdr:nvCxnSpPr>
      <xdr:spPr>
        <a:xfrm flipV="1">
          <a:off x="981075" y="1466850"/>
          <a:ext cx="5076825" cy="2857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276225</xdr:colOff>
      <xdr:row>5</xdr:row>
      <xdr:rowOff>9525</xdr:rowOff>
    </xdr:from>
    <xdr:to>
      <xdr:col>2</xdr:col>
      <xdr:colOff>276225</xdr:colOff>
      <xdr:row>7</xdr:row>
      <xdr:rowOff>9525</xdr:rowOff>
    </xdr:to>
    <xdr:cxnSp macro="">
      <xdr:nvCxnSpPr>
        <xdr:cNvPr id="45" name="Conector de Seta Reta 44">
          <a:extLst>
            <a:ext uri="{FF2B5EF4-FFF2-40B4-BE49-F238E27FC236}">
              <a16:creationId xmlns:a16="http://schemas.microsoft.com/office/drawing/2014/main" id="{D5C124D9-A480-47A2-B969-B578FAC50754}"/>
            </a:ext>
          </a:extLst>
        </xdr:cNvPr>
        <xdr:cNvCxnSpPr/>
      </xdr:nvCxnSpPr>
      <xdr:spPr>
        <a:xfrm flipV="1">
          <a:off x="1609725" y="952500"/>
          <a:ext cx="0" cy="5334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371475</xdr:colOff>
      <xdr:row>5</xdr:row>
      <xdr:rowOff>19050</xdr:rowOff>
    </xdr:from>
    <xdr:to>
      <xdr:col>10</xdr:col>
      <xdr:colOff>371475</xdr:colOff>
      <xdr:row>7</xdr:row>
      <xdr:rowOff>28575</xdr:rowOff>
    </xdr:to>
    <xdr:cxnSp macro="">
      <xdr:nvCxnSpPr>
        <xdr:cNvPr id="46" name="Conector reto 45">
          <a:extLst>
            <a:ext uri="{FF2B5EF4-FFF2-40B4-BE49-F238E27FC236}">
              <a16:creationId xmlns:a16="http://schemas.microsoft.com/office/drawing/2014/main" id="{B044F1EC-BB8B-4330-97F4-CC9B8104D10D}"/>
            </a:ext>
          </a:extLst>
        </xdr:cNvPr>
        <xdr:cNvCxnSpPr/>
      </xdr:nvCxnSpPr>
      <xdr:spPr>
        <a:xfrm>
          <a:off x="9020175" y="2038350"/>
          <a:ext cx="0" cy="54292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581025</xdr:colOff>
      <xdr:row>6</xdr:row>
      <xdr:rowOff>0</xdr:rowOff>
    </xdr:from>
    <xdr:to>
      <xdr:col>15</xdr:col>
      <xdr:colOff>466725</xdr:colOff>
      <xdr:row>6</xdr:row>
      <xdr:rowOff>0</xdr:rowOff>
    </xdr:to>
    <xdr:cxnSp macro="">
      <xdr:nvCxnSpPr>
        <xdr:cNvPr id="47" name="Conector reto 46">
          <a:extLst>
            <a:ext uri="{FF2B5EF4-FFF2-40B4-BE49-F238E27FC236}">
              <a16:creationId xmlns:a16="http://schemas.microsoft.com/office/drawing/2014/main" id="{1F42B641-BF16-4776-B400-16D5AAA0EA89}"/>
            </a:ext>
          </a:extLst>
        </xdr:cNvPr>
        <xdr:cNvCxnSpPr/>
      </xdr:nvCxnSpPr>
      <xdr:spPr>
        <a:xfrm>
          <a:off x="1914525" y="2200275"/>
          <a:ext cx="339090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723900</xdr:colOff>
      <xdr:row>5</xdr:row>
      <xdr:rowOff>257175</xdr:rowOff>
    </xdr:from>
    <xdr:to>
      <xdr:col>17</xdr:col>
      <xdr:colOff>542925</xdr:colOff>
      <xdr:row>5</xdr:row>
      <xdr:rowOff>257175</xdr:rowOff>
    </xdr:to>
    <xdr:cxnSp macro="">
      <xdr:nvCxnSpPr>
        <xdr:cNvPr id="48" name="Conector reto 47">
          <a:extLst>
            <a:ext uri="{FF2B5EF4-FFF2-40B4-BE49-F238E27FC236}">
              <a16:creationId xmlns:a16="http://schemas.microsoft.com/office/drawing/2014/main" id="{BDC9F515-9EC4-4D3A-A892-0339AA538E5E}"/>
            </a:ext>
          </a:extLst>
        </xdr:cNvPr>
        <xdr:cNvCxnSpPr/>
      </xdr:nvCxnSpPr>
      <xdr:spPr>
        <a:xfrm>
          <a:off x="6419850" y="2190750"/>
          <a:ext cx="85725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542925</xdr:colOff>
      <xdr:row>10</xdr:row>
      <xdr:rowOff>9525</xdr:rowOff>
    </xdr:from>
    <xdr:to>
      <xdr:col>14</xdr:col>
      <xdr:colOff>409575</xdr:colOff>
      <xdr:row>10</xdr:row>
      <xdr:rowOff>9525</xdr:rowOff>
    </xdr:to>
    <xdr:cxnSp macro="">
      <xdr:nvCxnSpPr>
        <xdr:cNvPr id="49" name="Conector reto 48">
          <a:extLst>
            <a:ext uri="{FF2B5EF4-FFF2-40B4-BE49-F238E27FC236}">
              <a16:creationId xmlns:a16="http://schemas.microsoft.com/office/drawing/2014/main" id="{36D3AFCD-15DE-40D3-913D-0FE486EA9CB3}"/>
            </a:ext>
          </a:extLst>
        </xdr:cNvPr>
        <xdr:cNvCxnSpPr/>
      </xdr:nvCxnSpPr>
      <xdr:spPr>
        <a:xfrm>
          <a:off x="9925050" y="3962400"/>
          <a:ext cx="252412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561975</xdr:colOff>
      <xdr:row>5</xdr:row>
      <xdr:rowOff>0</xdr:rowOff>
    </xdr:from>
    <xdr:to>
      <xdr:col>12</xdr:col>
      <xdr:colOff>561975</xdr:colOff>
      <xdr:row>6</xdr:row>
      <xdr:rowOff>9525</xdr:rowOff>
    </xdr:to>
    <xdr:cxnSp macro="">
      <xdr:nvCxnSpPr>
        <xdr:cNvPr id="50" name="Conector de Seta Reta 49">
          <a:extLst>
            <a:ext uri="{FF2B5EF4-FFF2-40B4-BE49-F238E27FC236}">
              <a16:creationId xmlns:a16="http://schemas.microsoft.com/office/drawing/2014/main" id="{9E469191-E367-4EAE-8D09-7916CDD75117}"/>
            </a:ext>
          </a:extLst>
        </xdr:cNvPr>
        <xdr:cNvCxnSpPr/>
      </xdr:nvCxnSpPr>
      <xdr:spPr>
        <a:xfrm flipV="1">
          <a:off x="2676525" y="1933575"/>
          <a:ext cx="0" cy="2762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409575</xdr:colOff>
      <xdr:row>9</xdr:row>
      <xdr:rowOff>0</xdr:rowOff>
    </xdr:from>
    <xdr:to>
      <xdr:col>14</xdr:col>
      <xdr:colOff>409575</xdr:colOff>
      <xdr:row>10</xdr:row>
      <xdr:rowOff>19050</xdr:rowOff>
    </xdr:to>
    <xdr:cxnSp macro="">
      <xdr:nvCxnSpPr>
        <xdr:cNvPr id="51" name="Conector de Seta Reta 50">
          <a:extLst>
            <a:ext uri="{FF2B5EF4-FFF2-40B4-BE49-F238E27FC236}">
              <a16:creationId xmlns:a16="http://schemas.microsoft.com/office/drawing/2014/main" id="{B90EBA62-159F-4235-885A-2BD0974D9EE3}"/>
            </a:ext>
          </a:extLst>
        </xdr:cNvPr>
        <xdr:cNvCxnSpPr/>
      </xdr:nvCxnSpPr>
      <xdr:spPr>
        <a:xfrm flipV="1">
          <a:off x="12449175" y="3533775"/>
          <a:ext cx="0" cy="2857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428625</xdr:colOff>
      <xdr:row>4</xdr:row>
      <xdr:rowOff>542925</xdr:rowOff>
    </xdr:from>
    <xdr:to>
      <xdr:col>13</xdr:col>
      <xdr:colOff>428625</xdr:colOff>
      <xdr:row>6</xdr:row>
      <xdr:rowOff>0</xdr:rowOff>
    </xdr:to>
    <xdr:cxnSp macro="">
      <xdr:nvCxnSpPr>
        <xdr:cNvPr id="52" name="Conector de Seta Reta 51">
          <a:extLst>
            <a:ext uri="{FF2B5EF4-FFF2-40B4-BE49-F238E27FC236}">
              <a16:creationId xmlns:a16="http://schemas.microsoft.com/office/drawing/2014/main" id="{B06739A1-A487-4BC4-987D-912193F6408D}"/>
            </a:ext>
          </a:extLst>
        </xdr:cNvPr>
        <xdr:cNvCxnSpPr/>
      </xdr:nvCxnSpPr>
      <xdr:spPr>
        <a:xfrm flipV="1">
          <a:off x="11687175" y="2000250"/>
          <a:ext cx="0" cy="5810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466725</xdr:colOff>
      <xdr:row>4</xdr:row>
      <xdr:rowOff>552450</xdr:rowOff>
    </xdr:from>
    <xdr:to>
      <xdr:col>14</xdr:col>
      <xdr:colOff>466725</xdr:colOff>
      <xdr:row>6</xdr:row>
      <xdr:rowOff>0</xdr:rowOff>
    </xdr:to>
    <xdr:cxnSp macro="">
      <xdr:nvCxnSpPr>
        <xdr:cNvPr id="53" name="Conector de Seta Reta 52">
          <a:extLst>
            <a:ext uri="{FF2B5EF4-FFF2-40B4-BE49-F238E27FC236}">
              <a16:creationId xmlns:a16="http://schemas.microsoft.com/office/drawing/2014/main" id="{DE8FE52D-F744-4A3F-8893-2A006E2CAACE}"/>
            </a:ext>
          </a:extLst>
        </xdr:cNvPr>
        <xdr:cNvCxnSpPr/>
      </xdr:nvCxnSpPr>
      <xdr:spPr>
        <a:xfrm flipV="1">
          <a:off x="4429125" y="1924050"/>
          <a:ext cx="0" cy="2762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466725</xdr:colOff>
      <xdr:row>4</xdr:row>
      <xdr:rowOff>552450</xdr:rowOff>
    </xdr:from>
    <xdr:to>
      <xdr:col>15</xdr:col>
      <xdr:colOff>466725</xdr:colOff>
      <xdr:row>6</xdr:row>
      <xdr:rowOff>0</xdr:rowOff>
    </xdr:to>
    <xdr:cxnSp macro="">
      <xdr:nvCxnSpPr>
        <xdr:cNvPr id="54" name="Conector de Seta Reta 53">
          <a:extLst>
            <a:ext uri="{FF2B5EF4-FFF2-40B4-BE49-F238E27FC236}">
              <a16:creationId xmlns:a16="http://schemas.microsoft.com/office/drawing/2014/main" id="{0B5E39D0-6A5A-4455-B965-2A8DAADFA2E1}"/>
            </a:ext>
          </a:extLst>
        </xdr:cNvPr>
        <xdr:cNvCxnSpPr/>
      </xdr:nvCxnSpPr>
      <xdr:spPr>
        <a:xfrm flipV="1">
          <a:off x="5305425" y="1924050"/>
          <a:ext cx="0" cy="2762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552450</xdr:colOff>
      <xdr:row>4</xdr:row>
      <xdr:rowOff>542925</xdr:rowOff>
    </xdr:from>
    <xdr:to>
      <xdr:col>17</xdr:col>
      <xdr:colOff>552450</xdr:colOff>
      <xdr:row>5</xdr:row>
      <xdr:rowOff>266700</xdr:rowOff>
    </xdr:to>
    <xdr:cxnSp macro="">
      <xdr:nvCxnSpPr>
        <xdr:cNvPr id="55" name="Conector de Seta Reta 54">
          <a:extLst>
            <a:ext uri="{FF2B5EF4-FFF2-40B4-BE49-F238E27FC236}">
              <a16:creationId xmlns:a16="http://schemas.microsoft.com/office/drawing/2014/main" id="{AE2E999A-CA82-4DAB-92EB-41BB4F57DB09}"/>
            </a:ext>
          </a:extLst>
        </xdr:cNvPr>
        <xdr:cNvCxnSpPr/>
      </xdr:nvCxnSpPr>
      <xdr:spPr>
        <a:xfrm flipV="1">
          <a:off x="15278100" y="2000250"/>
          <a:ext cx="0" cy="2857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542925</xdr:colOff>
      <xdr:row>9</xdr:row>
      <xdr:rowOff>0</xdr:rowOff>
    </xdr:from>
    <xdr:to>
      <xdr:col>11</xdr:col>
      <xdr:colOff>542925</xdr:colOff>
      <xdr:row>10</xdr:row>
      <xdr:rowOff>19050</xdr:rowOff>
    </xdr:to>
    <xdr:cxnSp macro="">
      <xdr:nvCxnSpPr>
        <xdr:cNvPr id="56" name="Conector de Seta Reta 55">
          <a:extLst>
            <a:ext uri="{FF2B5EF4-FFF2-40B4-BE49-F238E27FC236}">
              <a16:creationId xmlns:a16="http://schemas.microsoft.com/office/drawing/2014/main" id="{4F3BEEB4-52DD-4E14-87A5-8373992313A9}"/>
            </a:ext>
          </a:extLst>
        </xdr:cNvPr>
        <xdr:cNvCxnSpPr/>
      </xdr:nvCxnSpPr>
      <xdr:spPr>
        <a:xfrm flipV="1">
          <a:off x="9925050" y="3686175"/>
          <a:ext cx="0" cy="2857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371475</xdr:colOff>
      <xdr:row>9</xdr:row>
      <xdr:rowOff>9525</xdr:rowOff>
    </xdr:from>
    <xdr:to>
      <xdr:col>13</xdr:col>
      <xdr:colOff>371475</xdr:colOff>
      <xdr:row>10</xdr:row>
      <xdr:rowOff>19050</xdr:rowOff>
    </xdr:to>
    <xdr:cxnSp macro="">
      <xdr:nvCxnSpPr>
        <xdr:cNvPr id="57" name="Conector de Seta Reta 56">
          <a:extLst>
            <a:ext uri="{FF2B5EF4-FFF2-40B4-BE49-F238E27FC236}">
              <a16:creationId xmlns:a16="http://schemas.microsoft.com/office/drawing/2014/main" id="{67325127-47B8-427C-8495-B141DCBB54A0}"/>
            </a:ext>
          </a:extLst>
        </xdr:cNvPr>
        <xdr:cNvCxnSpPr/>
      </xdr:nvCxnSpPr>
      <xdr:spPr>
        <a:xfrm flipV="1">
          <a:off x="11630025" y="3543300"/>
          <a:ext cx="0" cy="2762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514350</xdr:colOff>
      <xdr:row>8</xdr:row>
      <xdr:rowOff>790575</xdr:rowOff>
    </xdr:from>
    <xdr:to>
      <xdr:col>12</xdr:col>
      <xdr:colOff>514350</xdr:colOff>
      <xdr:row>10</xdr:row>
      <xdr:rowOff>28575</xdr:rowOff>
    </xdr:to>
    <xdr:cxnSp macro="">
      <xdr:nvCxnSpPr>
        <xdr:cNvPr id="58" name="Conector de Seta Reta 57">
          <a:extLst>
            <a:ext uri="{FF2B5EF4-FFF2-40B4-BE49-F238E27FC236}">
              <a16:creationId xmlns:a16="http://schemas.microsoft.com/office/drawing/2014/main" id="{DDE82EBD-ED37-41AF-AC79-4F61CE0BD0AB}"/>
            </a:ext>
          </a:extLst>
        </xdr:cNvPr>
        <xdr:cNvCxnSpPr/>
      </xdr:nvCxnSpPr>
      <xdr:spPr>
        <a:xfrm flipV="1">
          <a:off x="10677525" y="3524250"/>
          <a:ext cx="0" cy="3048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371475</xdr:colOff>
      <xdr:row>5</xdr:row>
      <xdr:rowOff>0</xdr:rowOff>
    </xdr:from>
    <xdr:to>
      <xdr:col>16</xdr:col>
      <xdr:colOff>371475</xdr:colOff>
      <xdr:row>7</xdr:row>
      <xdr:rowOff>0</xdr:rowOff>
    </xdr:to>
    <xdr:cxnSp macro="">
      <xdr:nvCxnSpPr>
        <xdr:cNvPr id="59" name="Conector de Seta Reta 58">
          <a:extLst>
            <a:ext uri="{FF2B5EF4-FFF2-40B4-BE49-F238E27FC236}">
              <a16:creationId xmlns:a16="http://schemas.microsoft.com/office/drawing/2014/main" id="{5F0F48AD-FCF1-44FE-B0EF-9F74F3E993D0}"/>
            </a:ext>
          </a:extLst>
        </xdr:cNvPr>
        <xdr:cNvCxnSpPr/>
      </xdr:nvCxnSpPr>
      <xdr:spPr>
        <a:xfrm flipV="1">
          <a:off x="6067425" y="1933575"/>
          <a:ext cx="0" cy="5334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390525</xdr:colOff>
      <xdr:row>8</xdr:row>
      <xdr:rowOff>790575</xdr:rowOff>
    </xdr:from>
    <xdr:to>
      <xdr:col>15</xdr:col>
      <xdr:colOff>400050</xdr:colOff>
      <xdr:row>11</xdr:row>
      <xdr:rowOff>95250</xdr:rowOff>
    </xdr:to>
    <xdr:cxnSp macro="">
      <xdr:nvCxnSpPr>
        <xdr:cNvPr id="60" name="Conector de Seta Reta 59">
          <a:extLst>
            <a:ext uri="{FF2B5EF4-FFF2-40B4-BE49-F238E27FC236}">
              <a16:creationId xmlns:a16="http://schemas.microsoft.com/office/drawing/2014/main" id="{B417980A-54A4-4F4D-B8C9-1039368D8517}"/>
            </a:ext>
          </a:extLst>
        </xdr:cNvPr>
        <xdr:cNvCxnSpPr/>
      </xdr:nvCxnSpPr>
      <xdr:spPr>
        <a:xfrm flipH="1" flipV="1">
          <a:off x="13296900" y="3676650"/>
          <a:ext cx="9525" cy="5619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581025</xdr:colOff>
      <xdr:row>5</xdr:row>
      <xdr:rowOff>9525</xdr:rowOff>
    </xdr:from>
    <xdr:to>
      <xdr:col>11</xdr:col>
      <xdr:colOff>581025</xdr:colOff>
      <xdr:row>6</xdr:row>
      <xdr:rowOff>19050</xdr:rowOff>
    </xdr:to>
    <xdr:cxnSp macro="">
      <xdr:nvCxnSpPr>
        <xdr:cNvPr id="61" name="Conector reto 60">
          <a:extLst>
            <a:ext uri="{FF2B5EF4-FFF2-40B4-BE49-F238E27FC236}">
              <a16:creationId xmlns:a16="http://schemas.microsoft.com/office/drawing/2014/main" id="{7F31D4AD-1054-4979-9FEB-234AF8DF4261}"/>
            </a:ext>
          </a:extLst>
        </xdr:cNvPr>
        <xdr:cNvCxnSpPr/>
      </xdr:nvCxnSpPr>
      <xdr:spPr>
        <a:xfrm flipV="1">
          <a:off x="1914525" y="1943100"/>
          <a:ext cx="0" cy="27622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723900</xdr:colOff>
      <xdr:row>4</xdr:row>
      <xdr:rowOff>542925</xdr:rowOff>
    </xdr:from>
    <xdr:to>
      <xdr:col>16</xdr:col>
      <xdr:colOff>723900</xdr:colOff>
      <xdr:row>5</xdr:row>
      <xdr:rowOff>266700</xdr:rowOff>
    </xdr:to>
    <xdr:cxnSp macro="">
      <xdr:nvCxnSpPr>
        <xdr:cNvPr id="62" name="Conector reto 61">
          <a:extLst>
            <a:ext uri="{FF2B5EF4-FFF2-40B4-BE49-F238E27FC236}">
              <a16:creationId xmlns:a16="http://schemas.microsoft.com/office/drawing/2014/main" id="{3773BDAB-2856-49F6-ACA8-4FF376382388}"/>
            </a:ext>
          </a:extLst>
        </xdr:cNvPr>
        <xdr:cNvCxnSpPr/>
      </xdr:nvCxnSpPr>
      <xdr:spPr>
        <a:xfrm flipV="1">
          <a:off x="14411325" y="2000250"/>
          <a:ext cx="0" cy="28575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371475</xdr:colOff>
      <xdr:row>6</xdr:row>
      <xdr:rowOff>257175</xdr:rowOff>
    </xdr:from>
    <xdr:to>
      <xdr:col>16</xdr:col>
      <xdr:colOff>361950</xdr:colOff>
      <xdr:row>7</xdr:row>
      <xdr:rowOff>19050</xdr:rowOff>
    </xdr:to>
    <xdr:cxnSp macro="">
      <xdr:nvCxnSpPr>
        <xdr:cNvPr id="63" name="Conector reto 62">
          <a:extLst>
            <a:ext uri="{FF2B5EF4-FFF2-40B4-BE49-F238E27FC236}">
              <a16:creationId xmlns:a16="http://schemas.microsoft.com/office/drawing/2014/main" id="{B38E12BA-6729-4EEB-88A7-B8E25BBDD71C}"/>
            </a:ext>
          </a:extLst>
        </xdr:cNvPr>
        <xdr:cNvCxnSpPr/>
      </xdr:nvCxnSpPr>
      <xdr:spPr>
        <a:xfrm flipV="1">
          <a:off x="981075" y="2457450"/>
          <a:ext cx="5076825" cy="2857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276225</xdr:colOff>
      <xdr:row>5</xdr:row>
      <xdr:rowOff>9525</xdr:rowOff>
    </xdr:from>
    <xdr:to>
      <xdr:col>11</xdr:col>
      <xdr:colOff>276225</xdr:colOff>
      <xdr:row>7</xdr:row>
      <xdr:rowOff>9525</xdr:rowOff>
    </xdr:to>
    <xdr:cxnSp macro="">
      <xdr:nvCxnSpPr>
        <xdr:cNvPr id="64" name="Conector de Seta Reta 63">
          <a:extLst>
            <a:ext uri="{FF2B5EF4-FFF2-40B4-BE49-F238E27FC236}">
              <a16:creationId xmlns:a16="http://schemas.microsoft.com/office/drawing/2014/main" id="{EFBC3CF9-B487-4FD9-8253-90176A47D0DD}"/>
            </a:ext>
          </a:extLst>
        </xdr:cNvPr>
        <xdr:cNvCxnSpPr/>
      </xdr:nvCxnSpPr>
      <xdr:spPr>
        <a:xfrm flipV="1">
          <a:off x="1609725" y="1943100"/>
          <a:ext cx="0" cy="5334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390525</xdr:colOff>
      <xdr:row>11</xdr:row>
      <xdr:rowOff>95250</xdr:rowOff>
    </xdr:from>
    <xdr:to>
      <xdr:col>15</xdr:col>
      <xdr:colOff>409575</xdr:colOff>
      <xdr:row>11</xdr:row>
      <xdr:rowOff>114300</xdr:rowOff>
    </xdr:to>
    <xdr:cxnSp macro="">
      <xdr:nvCxnSpPr>
        <xdr:cNvPr id="93" name="Conector reto 92">
          <a:extLst>
            <a:ext uri="{FF2B5EF4-FFF2-40B4-BE49-F238E27FC236}">
              <a16:creationId xmlns:a16="http://schemas.microsoft.com/office/drawing/2014/main" id="{72F23213-1195-4F99-8DE7-2F9DD7AC2A99}"/>
            </a:ext>
          </a:extLst>
        </xdr:cNvPr>
        <xdr:cNvCxnSpPr/>
      </xdr:nvCxnSpPr>
      <xdr:spPr>
        <a:xfrm flipV="1">
          <a:off x="9039225" y="4238625"/>
          <a:ext cx="4276725" cy="1905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381000</xdr:colOff>
      <xdr:row>9</xdr:row>
      <xdr:rowOff>9525</xdr:rowOff>
    </xdr:from>
    <xdr:to>
      <xdr:col>10</xdr:col>
      <xdr:colOff>390525</xdr:colOff>
      <xdr:row>11</xdr:row>
      <xdr:rowOff>123825</xdr:rowOff>
    </xdr:to>
    <xdr:cxnSp macro="">
      <xdr:nvCxnSpPr>
        <xdr:cNvPr id="104" name="Conector reto 103">
          <a:extLst>
            <a:ext uri="{FF2B5EF4-FFF2-40B4-BE49-F238E27FC236}">
              <a16:creationId xmlns:a16="http://schemas.microsoft.com/office/drawing/2014/main" id="{0F436242-BC70-1014-1BB3-2EA1A4D70F36}"/>
            </a:ext>
          </a:extLst>
        </xdr:cNvPr>
        <xdr:cNvCxnSpPr/>
      </xdr:nvCxnSpPr>
      <xdr:spPr>
        <a:xfrm flipH="1" flipV="1">
          <a:off x="9029700" y="3695700"/>
          <a:ext cx="9525" cy="5715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219075</xdr:colOff>
      <xdr:row>8</xdr:row>
      <xdr:rowOff>790575</xdr:rowOff>
    </xdr:from>
    <xdr:to>
      <xdr:col>11</xdr:col>
      <xdr:colOff>228600</xdr:colOff>
      <xdr:row>11</xdr:row>
      <xdr:rowOff>104775</xdr:rowOff>
    </xdr:to>
    <xdr:cxnSp macro="">
      <xdr:nvCxnSpPr>
        <xdr:cNvPr id="106" name="Conector reto 105">
          <a:extLst>
            <a:ext uri="{FF2B5EF4-FFF2-40B4-BE49-F238E27FC236}">
              <a16:creationId xmlns:a16="http://schemas.microsoft.com/office/drawing/2014/main" id="{ED576B7C-9336-4987-83EF-4850EF39B8DD}"/>
            </a:ext>
          </a:extLst>
        </xdr:cNvPr>
        <xdr:cNvCxnSpPr/>
      </xdr:nvCxnSpPr>
      <xdr:spPr>
        <a:xfrm flipH="1" flipV="1">
          <a:off x="9601200" y="3676650"/>
          <a:ext cx="9525" cy="5715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657225</xdr:colOff>
      <xdr:row>9</xdr:row>
      <xdr:rowOff>0</xdr:rowOff>
    </xdr:from>
    <xdr:to>
      <xdr:col>13</xdr:col>
      <xdr:colOff>666750</xdr:colOff>
      <xdr:row>11</xdr:row>
      <xdr:rowOff>104775</xdr:rowOff>
    </xdr:to>
    <xdr:cxnSp macro="">
      <xdr:nvCxnSpPr>
        <xdr:cNvPr id="112" name="Conector de Seta Reta 111">
          <a:extLst>
            <a:ext uri="{FF2B5EF4-FFF2-40B4-BE49-F238E27FC236}">
              <a16:creationId xmlns:a16="http://schemas.microsoft.com/office/drawing/2014/main" id="{2D9CCB17-7C4C-4C06-9509-15DFDD455F35}"/>
            </a:ext>
          </a:extLst>
        </xdr:cNvPr>
        <xdr:cNvCxnSpPr/>
      </xdr:nvCxnSpPr>
      <xdr:spPr>
        <a:xfrm flipH="1" flipV="1">
          <a:off x="11915775" y="3686175"/>
          <a:ext cx="9525" cy="5619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361950</xdr:colOff>
      <xdr:row>5</xdr:row>
      <xdr:rowOff>19050</xdr:rowOff>
    </xdr:from>
    <xdr:to>
      <xdr:col>1</xdr:col>
      <xdr:colOff>371475</xdr:colOff>
      <xdr:row>5</xdr:row>
      <xdr:rowOff>514350</xdr:rowOff>
    </xdr:to>
    <xdr:cxnSp macro="">
      <xdr:nvCxnSpPr>
        <xdr:cNvPr id="21" name="Conector reto 20">
          <a:extLst>
            <a:ext uri="{FF2B5EF4-FFF2-40B4-BE49-F238E27FC236}">
              <a16:creationId xmlns:a16="http://schemas.microsoft.com/office/drawing/2014/main" id="{5B1469CF-B6E9-441B-918D-AA41F20F283F}"/>
            </a:ext>
          </a:extLst>
        </xdr:cNvPr>
        <xdr:cNvCxnSpPr/>
      </xdr:nvCxnSpPr>
      <xdr:spPr>
        <a:xfrm flipH="1">
          <a:off x="9010650" y="2038350"/>
          <a:ext cx="9525" cy="4953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581025</xdr:colOff>
      <xdr:row>5</xdr:row>
      <xdr:rowOff>304800</xdr:rowOff>
    </xdr:from>
    <xdr:to>
      <xdr:col>6</xdr:col>
      <xdr:colOff>466725</xdr:colOff>
      <xdr:row>5</xdr:row>
      <xdr:rowOff>304800</xdr:rowOff>
    </xdr:to>
    <xdr:cxnSp macro="">
      <xdr:nvCxnSpPr>
        <xdr:cNvPr id="22" name="Conector reto 21">
          <a:extLst>
            <a:ext uri="{FF2B5EF4-FFF2-40B4-BE49-F238E27FC236}">
              <a16:creationId xmlns:a16="http://schemas.microsoft.com/office/drawing/2014/main" id="{3A080915-C054-4C93-BB67-B7EF9FE4D323}"/>
            </a:ext>
          </a:extLst>
        </xdr:cNvPr>
        <xdr:cNvCxnSpPr/>
      </xdr:nvCxnSpPr>
      <xdr:spPr>
        <a:xfrm>
          <a:off x="9963150" y="2324100"/>
          <a:ext cx="340995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723900</xdr:colOff>
      <xdr:row>5</xdr:row>
      <xdr:rowOff>257175</xdr:rowOff>
    </xdr:from>
    <xdr:to>
      <xdr:col>8</xdr:col>
      <xdr:colOff>542925</xdr:colOff>
      <xdr:row>5</xdr:row>
      <xdr:rowOff>257175</xdr:rowOff>
    </xdr:to>
    <xdr:cxnSp macro="">
      <xdr:nvCxnSpPr>
        <xdr:cNvPr id="23" name="Conector reto 22">
          <a:extLst>
            <a:ext uri="{FF2B5EF4-FFF2-40B4-BE49-F238E27FC236}">
              <a16:creationId xmlns:a16="http://schemas.microsoft.com/office/drawing/2014/main" id="{D465FF7A-F004-4D0D-B45E-7D03A7551128}"/>
            </a:ext>
          </a:extLst>
        </xdr:cNvPr>
        <xdr:cNvCxnSpPr/>
      </xdr:nvCxnSpPr>
      <xdr:spPr>
        <a:xfrm>
          <a:off x="14411325" y="2276475"/>
          <a:ext cx="85725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561975</xdr:colOff>
      <xdr:row>4</xdr:row>
      <xdr:rowOff>552450</xdr:rowOff>
    </xdr:from>
    <xdr:to>
      <xdr:col>3</xdr:col>
      <xdr:colOff>561975</xdr:colOff>
      <xdr:row>5</xdr:row>
      <xdr:rowOff>295275</xdr:rowOff>
    </xdr:to>
    <xdr:cxnSp macro="">
      <xdr:nvCxnSpPr>
        <xdr:cNvPr id="25" name="Conector de Seta Reta 24">
          <a:extLst>
            <a:ext uri="{FF2B5EF4-FFF2-40B4-BE49-F238E27FC236}">
              <a16:creationId xmlns:a16="http://schemas.microsoft.com/office/drawing/2014/main" id="{B1B6EBE6-7929-450C-AB4C-D05EE359F21F}"/>
            </a:ext>
          </a:extLst>
        </xdr:cNvPr>
        <xdr:cNvCxnSpPr/>
      </xdr:nvCxnSpPr>
      <xdr:spPr>
        <a:xfrm flipV="1">
          <a:off x="10725150" y="2009775"/>
          <a:ext cx="0" cy="3048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428625</xdr:colOff>
      <xdr:row>4</xdr:row>
      <xdr:rowOff>542925</xdr:rowOff>
    </xdr:from>
    <xdr:to>
      <xdr:col>4</xdr:col>
      <xdr:colOff>428625</xdr:colOff>
      <xdr:row>5</xdr:row>
      <xdr:rowOff>314325</xdr:rowOff>
    </xdr:to>
    <xdr:cxnSp macro="">
      <xdr:nvCxnSpPr>
        <xdr:cNvPr id="27" name="Conector de Seta Reta 26">
          <a:extLst>
            <a:ext uri="{FF2B5EF4-FFF2-40B4-BE49-F238E27FC236}">
              <a16:creationId xmlns:a16="http://schemas.microsoft.com/office/drawing/2014/main" id="{3B378A41-0914-4CF3-A28E-73B9ED021B3F}"/>
            </a:ext>
          </a:extLst>
        </xdr:cNvPr>
        <xdr:cNvCxnSpPr/>
      </xdr:nvCxnSpPr>
      <xdr:spPr>
        <a:xfrm flipV="1">
          <a:off x="11687175" y="2000250"/>
          <a:ext cx="0" cy="3333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466725</xdr:colOff>
      <xdr:row>4</xdr:row>
      <xdr:rowOff>552450</xdr:rowOff>
    </xdr:from>
    <xdr:to>
      <xdr:col>5</xdr:col>
      <xdr:colOff>466725</xdr:colOff>
      <xdr:row>5</xdr:row>
      <xdr:rowOff>314325</xdr:rowOff>
    </xdr:to>
    <xdr:cxnSp macro="">
      <xdr:nvCxnSpPr>
        <xdr:cNvPr id="28" name="Conector de Seta Reta 27">
          <a:extLst>
            <a:ext uri="{FF2B5EF4-FFF2-40B4-BE49-F238E27FC236}">
              <a16:creationId xmlns:a16="http://schemas.microsoft.com/office/drawing/2014/main" id="{264224FC-864D-4D3D-8616-993B7DB9FBE6}"/>
            </a:ext>
          </a:extLst>
        </xdr:cNvPr>
        <xdr:cNvCxnSpPr/>
      </xdr:nvCxnSpPr>
      <xdr:spPr>
        <a:xfrm flipV="1">
          <a:off x="12506325" y="2009775"/>
          <a:ext cx="0" cy="3238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466725</xdr:colOff>
      <xdr:row>4</xdr:row>
      <xdr:rowOff>552450</xdr:rowOff>
    </xdr:from>
    <xdr:to>
      <xdr:col>6</xdr:col>
      <xdr:colOff>466725</xdr:colOff>
      <xdr:row>5</xdr:row>
      <xdr:rowOff>323850</xdr:rowOff>
    </xdr:to>
    <xdr:cxnSp macro="">
      <xdr:nvCxnSpPr>
        <xdr:cNvPr id="29" name="Conector de Seta Reta 28">
          <a:extLst>
            <a:ext uri="{FF2B5EF4-FFF2-40B4-BE49-F238E27FC236}">
              <a16:creationId xmlns:a16="http://schemas.microsoft.com/office/drawing/2014/main" id="{989415C4-3D31-488F-A70A-437CCCBCFF5F}"/>
            </a:ext>
          </a:extLst>
        </xdr:cNvPr>
        <xdr:cNvCxnSpPr/>
      </xdr:nvCxnSpPr>
      <xdr:spPr>
        <a:xfrm flipV="1">
          <a:off x="13373100" y="2009775"/>
          <a:ext cx="0" cy="3333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552450</xdr:colOff>
      <xdr:row>4</xdr:row>
      <xdr:rowOff>542925</xdr:rowOff>
    </xdr:from>
    <xdr:to>
      <xdr:col>8</xdr:col>
      <xdr:colOff>552450</xdr:colOff>
      <xdr:row>5</xdr:row>
      <xdr:rowOff>266700</xdr:rowOff>
    </xdr:to>
    <xdr:cxnSp macro="">
      <xdr:nvCxnSpPr>
        <xdr:cNvPr id="30" name="Conector de Seta Reta 29">
          <a:extLst>
            <a:ext uri="{FF2B5EF4-FFF2-40B4-BE49-F238E27FC236}">
              <a16:creationId xmlns:a16="http://schemas.microsoft.com/office/drawing/2014/main" id="{AE685E3C-BF96-4034-9C52-CF6F2A068F4F}"/>
            </a:ext>
          </a:extLst>
        </xdr:cNvPr>
        <xdr:cNvCxnSpPr/>
      </xdr:nvCxnSpPr>
      <xdr:spPr>
        <a:xfrm flipV="1">
          <a:off x="15278100" y="2000250"/>
          <a:ext cx="0" cy="2857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371475</xdr:colOff>
      <xdr:row>5</xdr:row>
      <xdr:rowOff>0</xdr:rowOff>
    </xdr:from>
    <xdr:to>
      <xdr:col>7</xdr:col>
      <xdr:colOff>371475</xdr:colOff>
      <xdr:row>5</xdr:row>
      <xdr:rowOff>485775</xdr:rowOff>
    </xdr:to>
    <xdr:cxnSp macro="">
      <xdr:nvCxnSpPr>
        <xdr:cNvPr id="34" name="Conector de Seta Reta 33">
          <a:extLst>
            <a:ext uri="{FF2B5EF4-FFF2-40B4-BE49-F238E27FC236}">
              <a16:creationId xmlns:a16="http://schemas.microsoft.com/office/drawing/2014/main" id="{DA1D9146-2F45-40B6-836E-43F55EF8453A}"/>
            </a:ext>
          </a:extLst>
        </xdr:cNvPr>
        <xdr:cNvCxnSpPr/>
      </xdr:nvCxnSpPr>
      <xdr:spPr>
        <a:xfrm flipV="1">
          <a:off x="14058900" y="2019300"/>
          <a:ext cx="0" cy="4857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447675</xdr:colOff>
      <xdr:row>9</xdr:row>
      <xdr:rowOff>0</xdr:rowOff>
    </xdr:from>
    <xdr:to>
      <xdr:col>4</xdr:col>
      <xdr:colOff>447675</xdr:colOff>
      <xdr:row>10</xdr:row>
      <xdr:rowOff>66675</xdr:rowOff>
    </xdr:to>
    <xdr:cxnSp macro="">
      <xdr:nvCxnSpPr>
        <xdr:cNvPr id="35" name="Conector de Seta Reta 34">
          <a:extLst>
            <a:ext uri="{FF2B5EF4-FFF2-40B4-BE49-F238E27FC236}">
              <a16:creationId xmlns:a16="http://schemas.microsoft.com/office/drawing/2014/main" id="{38D5EB34-CFBC-4701-92F6-4F98CA82BCDA}"/>
            </a:ext>
          </a:extLst>
        </xdr:cNvPr>
        <xdr:cNvCxnSpPr/>
      </xdr:nvCxnSpPr>
      <xdr:spPr>
        <a:xfrm flipV="1">
          <a:off x="11706225" y="3705225"/>
          <a:ext cx="0" cy="3333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581025</xdr:colOff>
      <xdr:row>5</xdr:row>
      <xdr:rowOff>9525</xdr:rowOff>
    </xdr:from>
    <xdr:to>
      <xdr:col>2</xdr:col>
      <xdr:colOff>581025</xdr:colOff>
      <xdr:row>5</xdr:row>
      <xdr:rowOff>314325</xdr:rowOff>
    </xdr:to>
    <xdr:cxnSp macro="">
      <xdr:nvCxnSpPr>
        <xdr:cNvPr id="36" name="Conector reto 35">
          <a:extLst>
            <a:ext uri="{FF2B5EF4-FFF2-40B4-BE49-F238E27FC236}">
              <a16:creationId xmlns:a16="http://schemas.microsoft.com/office/drawing/2014/main" id="{7A77C153-86C8-4F9D-8FCF-DCA8F5A0CF9A}"/>
            </a:ext>
          </a:extLst>
        </xdr:cNvPr>
        <xdr:cNvCxnSpPr/>
      </xdr:nvCxnSpPr>
      <xdr:spPr>
        <a:xfrm flipV="1">
          <a:off x="9963150" y="2028825"/>
          <a:ext cx="0" cy="3048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723900</xdr:colOff>
      <xdr:row>4</xdr:row>
      <xdr:rowOff>542925</xdr:rowOff>
    </xdr:from>
    <xdr:to>
      <xdr:col>7</xdr:col>
      <xdr:colOff>723900</xdr:colOff>
      <xdr:row>5</xdr:row>
      <xdr:rowOff>266700</xdr:rowOff>
    </xdr:to>
    <xdr:cxnSp macro="">
      <xdr:nvCxnSpPr>
        <xdr:cNvPr id="37" name="Conector reto 36">
          <a:extLst>
            <a:ext uri="{FF2B5EF4-FFF2-40B4-BE49-F238E27FC236}">
              <a16:creationId xmlns:a16="http://schemas.microsoft.com/office/drawing/2014/main" id="{0536354B-C0BD-4258-AF80-373DD9315090}"/>
            </a:ext>
          </a:extLst>
        </xdr:cNvPr>
        <xdr:cNvCxnSpPr/>
      </xdr:nvCxnSpPr>
      <xdr:spPr>
        <a:xfrm flipV="1">
          <a:off x="14411325" y="2000250"/>
          <a:ext cx="0" cy="28575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381000</xdr:colOff>
      <xdr:row>5</xdr:row>
      <xdr:rowOff>476250</xdr:rowOff>
    </xdr:from>
    <xdr:to>
      <xdr:col>7</xdr:col>
      <xdr:colOff>371475</xdr:colOff>
      <xdr:row>5</xdr:row>
      <xdr:rowOff>504825</xdr:rowOff>
    </xdr:to>
    <xdr:cxnSp macro="">
      <xdr:nvCxnSpPr>
        <xdr:cNvPr id="38" name="Conector reto 37">
          <a:extLst>
            <a:ext uri="{FF2B5EF4-FFF2-40B4-BE49-F238E27FC236}">
              <a16:creationId xmlns:a16="http://schemas.microsoft.com/office/drawing/2014/main" id="{8819FE70-94DD-4859-8537-75A7F5C93F1C}"/>
            </a:ext>
          </a:extLst>
        </xdr:cNvPr>
        <xdr:cNvCxnSpPr/>
      </xdr:nvCxnSpPr>
      <xdr:spPr>
        <a:xfrm flipV="1">
          <a:off x="9029700" y="2495550"/>
          <a:ext cx="5029200" cy="2857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276225</xdr:colOff>
      <xdr:row>5</xdr:row>
      <xdr:rowOff>9525</xdr:rowOff>
    </xdr:from>
    <xdr:to>
      <xdr:col>2</xdr:col>
      <xdr:colOff>285750</xdr:colOff>
      <xdr:row>5</xdr:row>
      <xdr:rowOff>523875</xdr:rowOff>
    </xdr:to>
    <xdr:cxnSp macro="">
      <xdr:nvCxnSpPr>
        <xdr:cNvPr id="39" name="Conector de Seta Reta 38">
          <a:extLst>
            <a:ext uri="{FF2B5EF4-FFF2-40B4-BE49-F238E27FC236}">
              <a16:creationId xmlns:a16="http://schemas.microsoft.com/office/drawing/2014/main" id="{66AB41DA-9E8A-453C-9598-88ED9F6CF834}"/>
            </a:ext>
          </a:extLst>
        </xdr:cNvPr>
        <xdr:cNvCxnSpPr/>
      </xdr:nvCxnSpPr>
      <xdr:spPr>
        <a:xfrm flipH="1" flipV="1">
          <a:off x="9658350" y="2028825"/>
          <a:ext cx="9525" cy="5143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390525</xdr:colOff>
      <xdr:row>10</xdr:row>
      <xdr:rowOff>57150</xdr:rowOff>
    </xdr:from>
    <xdr:to>
      <xdr:col>4</xdr:col>
      <xdr:colOff>457200</xdr:colOff>
      <xdr:row>10</xdr:row>
      <xdr:rowOff>57150</xdr:rowOff>
    </xdr:to>
    <xdr:cxnSp macro="">
      <xdr:nvCxnSpPr>
        <xdr:cNvPr id="40" name="Conector reto 39">
          <a:extLst>
            <a:ext uri="{FF2B5EF4-FFF2-40B4-BE49-F238E27FC236}">
              <a16:creationId xmlns:a16="http://schemas.microsoft.com/office/drawing/2014/main" id="{D8691764-46DB-4967-810C-D7EA7233153E}"/>
            </a:ext>
          </a:extLst>
        </xdr:cNvPr>
        <xdr:cNvCxnSpPr/>
      </xdr:nvCxnSpPr>
      <xdr:spPr>
        <a:xfrm>
          <a:off x="9039225" y="4029075"/>
          <a:ext cx="267652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390525</xdr:colOff>
      <xdr:row>9</xdr:row>
      <xdr:rowOff>19050</xdr:rowOff>
    </xdr:from>
    <xdr:to>
      <xdr:col>1</xdr:col>
      <xdr:colOff>390525</xdr:colOff>
      <xdr:row>10</xdr:row>
      <xdr:rowOff>57150</xdr:rowOff>
    </xdr:to>
    <xdr:cxnSp macro="">
      <xdr:nvCxnSpPr>
        <xdr:cNvPr id="41" name="Conector reto 40">
          <a:extLst>
            <a:ext uri="{FF2B5EF4-FFF2-40B4-BE49-F238E27FC236}">
              <a16:creationId xmlns:a16="http://schemas.microsoft.com/office/drawing/2014/main" id="{FEE3A043-DD1B-4059-B505-8202BD95BD73}"/>
            </a:ext>
          </a:extLst>
        </xdr:cNvPr>
        <xdr:cNvCxnSpPr/>
      </xdr:nvCxnSpPr>
      <xdr:spPr>
        <a:xfrm flipV="1">
          <a:off x="9039225" y="3724275"/>
          <a:ext cx="0" cy="3048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219075</xdr:colOff>
      <xdr:row>9</xdr:row>
      <xdr:rowOff>0</xdr:rowOff>
    </xdr:from>
    <xdr:to>
      <xdr:col>2</xdr:col>
      <xdr:colOff>219075</xdr:colOff>
      <xdr:row>10</xdr:row>
      <xdr:rowOff>66675</xdr:rowOff>
    </xdr:to>
    <xdr:cxnSp macro="">
      <xdr:nvCxnSpPr>
        <xdr:cNvPr id="42" name="Conector reto 41">
          <a:extLst>
            <a:ext uri="{FF2B5EF4-FFF2-40B4-BE49-F238E27FC236}">
              <a16:creationId xmlns:a16="http://schemas.microsoft.com/office/drawing/2014/main" id="{C9A3A2A2-8B7B-4FFF-B0D7-E3CC3AB3F97B}"/>
            </a:ext>
          </a:extLst>
        </xdr:cNvPr>
        <xdr:cNvCxnSpPr/>
      </xdr:nvCxnSpPr>
      <xdr:spPr>
        <a:xfrm flipV="1">
          <a:off x="9601200" y="3705225"/>
          <a:ext cx="0" cy="33337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561975</xdr:colOff>
      <xdr:row>9</xdr:row>
      <xdr:rowOff>0</xdr:rowOff>
    </xdr:from>
    <xdr:to>
      <xdr:col>3</xdr:col>
      <xdr:colOff>571500</xdr:colOff>
      <xdr:row>10</xdr:row>
      <xdr:rowOff>76200</xdr:rowOff>
    </xdr:to>
    <xdr:cxnSp macro="">
      <xdr:nvCxnSpPr>
        <xdr:cNvPr id="43" name="Conector de Seta Reta 42">
          <a:extLst>
            <a:ext uri="{FF2B5EF4-FFF2-40B4-BE49-F238E27FC236}">
              <a16:creationId xmlns:a16="http://schemas.microsoft.com/office/drawing/2014/main" id="{C7876754-325A-4A5E-A243-1312B6D5207F}"/>
            </a:ext>
          </a:extLst>
        </xdr:cNvPr>
        <xdr:cNvCxnSpPr/>
      </xdr:nvCxnSpPr>
      <xdr:spPr>
        <a:xfrm flipH="1" flipV="1">
          <a:off x="10725150" y="3705225"/>
          <a:ext cx="9525" cy="3429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276225</xdr:colOff>
      <xdr:row>4</xdr:row>
      <xdr:rowOff>552450</xdr:rowOff>
    </xdr:from>
    <xdr:to>
      <xdr:col>2</xdr:col>
      <xdr:colOff>276225</xdr:colOff>
      <xdr:row>5</xdr:row>
      <xdr:rowOff>504825</xdr:rowOff>
    </xdr:to>
    <xdr:cxnSp macro="">
      <xdr:nvCxnSpPr>
        <xdr:cNvPr id="60" name="Conector de Seta Reta 59">
          <a:extLst>
            <a:ext uri="{FF2B5EF4-FFF2-40B4-BE49-F238E27FC236}">
              <a16:creationId xmlns:a16="http://schemas.microsoft.com/office/drawing/2014/main" id="{3E2B4256-46BE-6C16-472B-E14FCA78D04E}"/>
            </a:ext>
          </a:extLst>
        </xdr:cNvPr>
        <xdr:cNvCxnSpPr/>
      </xdr:nvCxnSpPr>
      <xdr:spPr>
        <a:xfrm flipV="1">
          <a:off x="9658350" y="2009775"/>
          <a:ext cx="0" cy="5143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447675</xdr:colOff>
      <xdr:row>14</xdr:row>
      <xdr:rowOff>0</xdr:rowOff>
    </xdr:from>
    <xdr:to>
      <xdr:col>4</xdr:col>
      <xdr:colOff>447675</xdr:colOff>
      <xdr:row>15</xdr:row>
      <xdr:rowOff>66675</xdr:rowOff>
    </xdr:to>
    <xdr:cxnSp macro="">
      <xdr:nvCxnSpPr>
        <xdr:cNvPr id="63" name="Conector de Seta Reta 62">
          <a:extLst>
            <a:ext uri="{FF2B5EF4-FFF2-40B4-BE49-F238E27FC236}">
              <a16:creationId xmlns:a16="http://schemas.microsoft.com/office/drawing/2014/main" id="{648236DD-93B6-4C05-8453-F421EA6C43FF}"/>
            </a:ext>
          </a:extLst>
        </xdr:cNvPr>
        <xdr:cNvCxnSpPr/>
      </xdr:nvCxnSpPr>
      <xdr:spPr>
        <a:xfrm flipV="1">
          <a:off x="11706225" y="3705225"/>
          <a:ext cx="0" cy="3333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219075</xdr:colOff>
      <xdr:row>15</xdr:row>
      <xdr:rowOff>57150</xdr:rowOff>
    </xdr:from>
    <xdr:to>
      <xdr:col>4</xdr:col>
      <xdr:colOff>457200</xdr:colOff>
      <xdr:row>15</xdr:row>
      <xdr:rowOff>66675</xdr:rowOff>
    </xdr:to>
    <xdr:cxnSp macro="">
      <xdr:nvCxnSpPr>
        <xdr:cNvPr id="64" name="Conector reto 63">
          <a:extLst>
            <a:ext uri="{FF2B5EF4-FFF2-40B4-BE49-F238E27FC236}">
              <a16:creationId xmlns:a16="http://schemas.microsoft.com/office/drawing/2014/main" id="{4D45406C-A20A-40FB-A9AF-9BB6D7ADBE7B}"/>
            </a:ext>
          </a:extLst>
        </xdr:cNvPr>
        <xdr:cNvCxnSpPr/>
      </xdr:nvCxnSpPr>
      <xdr:spPr>
        <a:xfrm flipV="1">
          <a:off x="9601200" y="5362575"/>
          <a:ext cx="2114550" cy="952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219075</xdr:colOff>
      <xdr:row>14</xdr:row>
      <xdr:rowOff>0</xdr:rowOff>
    </xdr:from>
    <xdr:to>
      <xdr:col>2</xdr:col>
      <xdr:colOff>219075</xdr:colOff>
      <xdr:row>15</xdr:row>
      <xdr:rowOff>66675</xdr:rowOff>
    </xdr:to>
    <xdr:cxnSp macro="">
      <xdr:nvCxnSpPr>
        <xdr:cNvPr id="66" name="Conector reto 65">
          <a:extLst>
            <a:ext uri="{FF2B5EF4-FFF2-40B4-BE49-F238E27FC236}">
              <a16:creationId xmlns:a16="http://schemas.microsoft.com/office/drawing/2014/main" id="{11197F05-E891-48E8-9C96-BEB1247F76A6}"/>
            </a:ext>
          </a:extLst>
        </xdr:cNvPr>
        <xdr:cNvCxnSpPr/>
      </xdr:nvCxnSpPr>
      <xdr:spPr>
        <a:xfrm flipV="1">
          <a:off x="9601200" y="3705225"/>
          <a:ext cx="0" cy="33337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561975</xdr:colOff>
      <xdr:row>14</xdr:row>
      <xdr:rowOff>0</xdr:rowOff>
    </xdr:from>
    <xdr:to>
      <xdr:col>3</xdr:col>
      <xdr:colOff>571500</xdr:colOff>
      <xdr:row>15</xdr:row>
      <xdr:rowOff>76200</xdr:rowOff>
    </xdr:to>
    <xdr:cxnSp macro="">
      <xdr:nvCxnSpPr>
        <xdr:cNvPr id="67" name="Conector de Seta Reta 66">
          <a:extLst>
            <a:ext uri="{FF2B5EF4-FFF2-40B4-BE49-F238E27FC236}">
              <a16:creationId xmlns:a16="http://schemas.microsoft.com/office/drawing/2014/main" id="{5F990FEE-BDF2-4C65-B070-F06CA16C6F01}"/>
            </a:ext>
          </a:extLst>
        </xdr:cNvPr>
        <xdr:cNvCxnSpPr/>
      </xdr:nvCxnSpPr>
      <xdr:spPr>
        <a:xfrm flipH="1" flipV="1">
          <a:off x="10725150" y="3705225"/>
          <a:ext cx="9525" cy="3429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5</xdr:row>
      <xdr:rowOff>304800</xdr:rowOff>
    </xdr:from>
    <xdr:to>
      <xdr:col>5</xdr:col>
      <xdr:colOff>466725</xdr:colOff>
      <xdr:row>5</xdr:row>
      <xdr:rowOff>304800</xdr:rowOff>
    </xdr:to>
    <xdr:cxnSp macro="">
      <xdr:nvCxnSpPr>
        <xdr:cNvPr id="3" name="Conector reto 2">
          <a:extLst>
            <a:ext uri="{FF2B5EF4-FFF2-40B4-BE49-F238E27FC236}">
              <a16:creationId xmlns:a16="http://schemas.microsoft.com/office/drawing/2014/main" id="{31B4C055-6298-4513-B8EB-A26E7D51B74C}"/>
            </a:ext>
          </a:extLst>
        </xdr:cNvPr>
        <xdr:cNvCxnSpPr/>
      </xdr:nvCxnSpPr>
      <xdr:spPr>
        <a:xfrm>
          <a:off x="1343025" y="2028825"/>
          <a:ext cx="312420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904875</xdr:colOff>
      <xdr:row>5</xdr:row>
      <xdr:rowOff>0</xdr:rowOff>
    </xdr:from>
    <xdr:to>
      <xdr:col>3</xdr:col>
      <xdr:colOff>904875</xdr:colOff>
      <xdr:row>5</xdr:row>
      <xdr:rowOff>295275</xdr:rowOff>
    </xdr:to>
    <xdr:cxnSp macro="">
      <xdr:nvCxnSpPr>
        <xdr:cNvPr id="5" name="Conector de Seta Reta 4">
          <a:extLst>
            <a:ext uri="{FF2B5EF4-FFF2-40B4-BE49-F238E27FC236}">
              <a16:creationId xmlns:a16="http://schemas.microsoft.com/office/drawing/2014/main" id="{EA1B09EA-BB30-4E50-ACA5-B8BE9EBE3A74}"/>
            </a:ext>
          </a:extLst>
        </xdr:cNvPr>
        <xdr:cNvCxnSpPr/>
      </xdr:nvCxnSpPr>
      <xdr:spPr>
        <a:xfrm flipV="1">
          <a:off x="3028950" y="1724025"/>
          <a:ext cx="0" cy="2952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466725</xdr:colOff>
      <xdr:row>4</xdr:row>
      <xdr:rowOff>552450</xdr:rowOff>
    </xdr:from>
    <xdr:to>
      <xdr:col>5</xdr:col>
      <xdr:colOff>466725</xdr:colOff>
      <xdr:row>5</xdr:row>
      <xdr:rowOff>314325</xdr:rowOff>
    </xdr:to>
    <xdr:cxnSp macro="">
      <xdr:nvCxnSpPr>
        <xdr:cNvPr id="7" name="Conector de Seta Reta 6">
          <a:extLst>
            <a:ext uri="{FF2B5EF4-FFF2-40B4-BE49-F238E27FC236}">
              <a16:creationId xmlns:a16="http://schemas.microsoft.com/office/drawing/2014/main" id="{D70ECB69-4077-4A4B-A51D-F82EF800D1D1}"/>
            </a:ext>
          </a:extLst>
        </xdr:cNvPr>
        <xdr:cNvCxnSpPr/>
      </xdr:nvCxnSpPr>
      <xdr:spPr>
        <a:xfrm flipV="1">
          <a:off x="4467225" y="2009775"/>
          <a:ext cx="0" cy="3238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466725</xdr:colOff>
      <xdr:row>4</xdr:row>
      <xdr:rowOff>552450</xdr:rowOff>
    </xdr:from>
    <xdr:to>
      <xdr:col>5</xdr:col>
      <xdr:colOff>466725</xdr:colOff>
      <xdr:row>5</xdr:row>
      <xdr:rowOff>323850</xdr:rowOff>
    </xdr:to>
    <xdr:cxnSp macro="">
      <xdr:nvCxnSpPr>
        <xdr:cNvPr id="8" name="Conector de Seta Reta 7">
          <a:extLst>
            <a:ext uri="{FF2B5EF4-FFF2-40B4-BE49-F238E27FC236}">
              <a16:creationId xmlns:a16="http://schemas.microsoft.com/office/drawing/2014/main" id="{30CE7A73-8CE1-4784-92A4-9A75ADB89672}"/>
            </a:ext>
          </a:extLst>
        </xdr:cNvPr>
        <xdr:cNvCxnSpPr/>
      </xdr:nvCxnSpPr>
      <xdr:spPr>
        <a:xfrm flipV="1">
          <a:off x="5334000" y="2009775"/>
          <a:ext cx="0" cy="3333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9525</xdr:colOff>
      <xdr:row>9</xdr:row>
      <xdr:rowOff>0</xdr:rowOff>
    </xdr:from>
    <xdr:to>
      <xdr:col>6</xdr:col>
      <xdr:colOff>9525</xdr:colOff>
      <xdr:row>10</xdr:row>
      <xdr:rowOff>66675</xdr:rowOff>
    </xdr:to>
    <xdr:cxnSp macro="">
      <xdr:nvCxnSpPr>
        <xdr:cNvPr id="11" name="Conector de Seta Reta 10">
          <a:extLst>
            <a:ext uri="{FF2B5EF4-FFF2-40B4-BE49-F238E27FC236}">
              <a16:creationId xmlns:a16="http://schemas.microsoft.com/office/drawing/2014/main" id="{F44202A8-8C7A-4D63-91C8-284E25666CF2}"/>
            </a:ext>
          </a:extLst>
        </xdr:cNvPr>
        <xdr:cNvCxnSpPr/>
      </xdr:nvCxnSpPr>
      <xdr:spPr>
        <a:xfrm flipV="1">
          <a:off x="4457700" y="3305175"/>
          <a:ext cx="0" cy="3333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9525</xdr:colOff>
      <xdr:row>5</xdr:row>
      <xdr:rowOff>9525</xdr:rowOff>
    </xdr:from>
    <xdr:to>
      <xdr:col>2</xdr:col>
      <xdr:colOff>9525</xdr:colOff>
      <xdr:row>5</xdr:row>
      <xdr:rowOff>314325</xdr:rowOff>
    </xdr:to>
    <xdr:cxnSp macro="">
      <xdr:nvCxnSpPr>
        <xdr:cNvPr id="12" name="Conector reto 11">
          <a:extLst>
            <a:ext uri="{FF2B5EF4-FFF2-40B4-BE49-F238E27FC236}">
              <a16:creationId xmlns:a16="http://schemas.microsoft.com/office/drawing/2014/main" id="{9CC5CB2A-CC85-4641-B347-50CD6D93B7D0}"/>
            </a:ext>
          </a:extLst>
        </xdr:cNvPr>
        <xdr:cNvCxnSpPr/>
      </xdr:nvCxnSpPr>
      <xdr:spPr>
        <a:xfrm flipV="1">
          <a:off x="1352550" y="1733550"/>
          <a:ext cx="0" cy="3048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714375</xdr:colOff>
      <xdr:row>10</xdr:row>
      <xdr:rowOff>57150</xdr:rowOff>
    </xdr:from>
    <xdr:to>
      <xdr:col>6</xdr:col>
      <xdr:colOff>9525</xdr:colOff>
      <xdr:row>10</xdr:row>
      <xdr:rowOff>57150</xdr:rowOff>
    </xdr:to>
    <xdr:cxnSp macro="">
      <xdr:nvCxnSpPr>
        <xdr:cNvPr id="16" name="Conector reto 15">
          <a:extLst>
            <a:ext uri="{FF2B5EF4-FFF2-40B4-BE49-F238E27FC236}">
              <a16:creationId xmlns:a16="http://schemas.microsoft.com/office/drawing/2014/main" id="{5E0C3682-76A0-4761-AA6E-05F805A8057F}"/>
            </a:ext>
          </a:extLst>
        </xdr:cNvPr>
        <xdr:cNvCxnSpPr/>
      </xdr:nvCxnSpPr>
      <xdr:spPr>
        <a:xfrm>
          <a:off x="1323975" y="3629025"/>
          <a:ext cx="313372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704850</xdr:colOff>
      <xdr:row>9</xdr:row>
      <xdr:rowOff>19050</xdr:rowOff>
    </xdr:from>
    <xdr:to>
      <xdr:col>1</xdr:col>
      <xdr:colOff>704850</xdr:colOff>
      <xdr:row>10</xdr:row>
      <xdr:rowOff>57150</xdr:rowOff>
    </xdr:to>
    <xdr:cxnSp macro="">
      <xdr:nvCxnSpPr>
        <xdr:cNvPr id="17" name="Conector reto 16">
          <a:extLst>
            <a:ext uri="{FF2B5EF4-FFF2-40B4-BE49-F238E27FC236}">
              <a16:creationId xmlns:a16="http://schemas.microsoft.com/office/drawing/2014/main" id="{D3325279-E872-4AD6-BA6F-847DF735D899}"/>
            </a:ext>
          </a:extLst>
        </xdr:cNvPr>
        <xdr:cNvCxnSpPr/>
      </xdr:nvCxnSpPr>
      <xdr:spPr>
        <a:xfrm flipV="1">
          <a:off x="1314450" y="3324225"/>
          <a:ext cx="0" cy="3048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514350</xdr:colOff>
      <xdr:row>9</xdr:row>
      <xdr:rowOff>0</xdr:rowOff>
    </xdr:from>
    <xdr:to>
      <xdr:col>2</xdr:col>
      <xdr:colOff>514350</xdr:colOff>
      <xdr:row>10</xdr:row>
      <xdr:rowOff>66675</xdr:rowOff>
    </xdr:to>
    <xdr:cxnSp macro="">
      <xdr:nvCxnSpPr>
        <xdr:cNvPr id="18" name="Conector reto 17">
          <a:extLst>
            <a:ext uri="{FF2B5EF4-FFF2-40B4-BE49-F238E27FC236}">
              <a16:creationId xmlns:a16="http://schemas.microsoft.com/office/drawing/2014/main" id="{A2753E12-04C1-467A-9228-D8F47EE3CBAB}"/>
            </a:ext>
          </a:extLst>
        </xdr:cNvPr>
        <xdr:cNvCxnSpPr/>
      </xdr:nvCxnSpPr>
      <xdr:spPr>
        <a:xfrm flipV="1">
          <a:off x="2352675" y="3305175"/>
          <a:ext cx="0" cy="33337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400050</xdr:colOff>
      <xdr:row>8</xdr:row>
      <xdr:rowOff>495300</xdr:rowOff>
    </xdr:from>
    <xdr:to>
      <xdr:col>4</xdr:col>
      <xdr:colOff>409575</xdr:colOff>
      <xdr:row>10</xdr:row>
      <xdr:rowOff>57150</xdr:rowOff>
    </xdr:to>
    <xdr:cxnSp macro="">
      <xdr:nvCxnSpPr>
        <xdr:cNvPr id="19" name="Conector de Seta Reta 18">
          <a:extLst>
            <a:ext uri="{FF2B5EF4-FFF2-40B4-BE49-F238E27FC236}">
              <a16:creationId xmlns:a16="http://schemas.microsoft.com/office/drawing/2014/main" id="{56D273F6-AFA8-4F73-A004-4D35E34AB65B}"/>
            </a:ext>
          </a:extLst>
        </xdr:cNvPr>
        <xdr:cNvCxnSpPr/>
      </xdr:nvCxnSpPr>
      <xdr:spPr>
        <a:xfrm flipH="1" flipV="1">
          <a:off x="3409950" y="3286125"/>
          <a:ext cx="9525" cy="3429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447675</xdr:colOff>
      <xdr:row>14</xdr:row>
      <xdr:rowOff>0</xdr:rowOff>
    </xdr:from>
    <xdr:to>
      <xdr:col>4</xdr:col>
      <xdr:colOff>447675</xdr:colOff>
      <xdr:row>15</xdr:row>
      <xdr:rowOff>66675</xdr:rowOff>
    </xdr:to>
    <xdr:cxnSp macro="">
      <xdr:nvCxnSpPr>
        <xdr:cNvPr id="21" name="Conector de Seta Reta 20">
          <a:extLst>
            <a:ext uri="{FF2B5EF4-FFF2-40B4-BE49-F238E27FC236}">
              <a16:creationId xmlns:a16="http://schemas.microsoft.com/office/drawing/2014/main" id="{A97AEA5F-B86A-4291-84D3-A36D8DC0DD23}"/>
            </a:ext>
          </a:extLst>
        </xdr:cNvPr>
        <xdr:cNvCxnSpPr/>
      </xdr:nvCxnSpPr>
      <xdr:spPr>
        <a:xfrm flipV="1">
          <a:off x="3667125" y="4810125"/>
          <a:ext cx="0" cy="3333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1057275</xdr:colOff>
      <xdr:row>15</xdr:row>
      <xdr:rowOff>47625</xdr:rowOff>
    </xdr:from>
    <xdr:to>
      <xdr:col>4</xdr:col>
      <xdr:colOff>457200</xdr:colOff>
      <xdr:row>15</xdr:row>
      <xdr:rowOff>57150</xdr:rowOff>
    </xdr:to>
    <xdr:cxnSp macro="">
      <xdr:nvCxnSpPr>
        <xdr:cNvPr id="22" name="Conector reto 21">
          <a:extLst>
            <a:ext uri="{FF2B5EF4-FFF2-40B4-BE49-F238E27FC236}">
              <a16:creationId xmlns:a16="http://schemas.microsoft.com/office/drawing/2014/main" id="{02C7B99B-C9FB-4C09-B0A9-35CAAC83DB75}"/>
            </a:ext>
          </a:extLst>
        </xdr:cNvPr>
        <xdr:cNvCxnSpPr/>
      </xdr:nvCxnSpPr>
      <xdr:spPr>
        <a:xfrm>
          <a:off x="1666875" y="4800600"/>
          <a:ext cx="2257425" cy="952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1057275</xdr:colOff>
      <xdr:row>14</xdr:row>
      <xdr:rowOff>0</xdr:rowOff>
    </xdr:from>
    <xdr:to>
      <xdr:col>1</xdr:col>
      <xdr:colOff>1057275</xdr:colOff>
      <xdr:row>15</xdr:row>
      <xdr:rowOff>66675</xdr:rowOff>
    </xdr:to>
    <xdr:cxnSp macro="">
      <xdr:nvCxnSpPr>
        <xdr:cNvPr id="23" name="Conector reto 22">
          <a:extLst>
            <a:ext uri="{FF2B5EF4-FFF2-40B4-BE49-F238E27FC236}">
              <a16:creationId xmlns:a16="http://schemas.microsoft.com/office/drawing/2014/main" id="{0110A8E4-D09C-446B-8F52-D1382ABA32A0}"/>
            </a:ext>
          </a:extLst>
        </xdr:cNvPr>
        <xdr:cNvCxnSpPr/>
      </xdr:nvCxnSpPr>
      <xdr:spPr>
        <a:xfrm flipV="1">
          <a:off x="1666875" y="4486275"/>
          <a:ext cx="0" cy="33337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571500</xdr:colOff>
      <xdr:row>14</xdr:row>
      <xdr:rowOff>0</xdr:rowOff>
    </xdr:from>
    <xdr:to>
      <xdr:col>3</xdr:col>
      <xdr:colOff>581025</xdr:colOff>
      <xdr:row>15</xdr:row>
      <xdr:rowOff>76200</xdr:rowOff>
    </xdr:to>
    <xdr:cxnSp macro="">
      <xdr:nvCxnSpPr>
        <xdr:cNvPr id="24" name="Conector de Seta Reta 23">
          <a:extLst>
            <a:ext uri="{FF2B5EF4-FFF2-40B4-BE49-F238E27FC236}">
              <a16:creationId xmlns:a16="http://schemas.microsoft.com/office/drawing/2014/main" id="{990A2AB3-7E0E-4FC3-9704-E934D6D7FFAF}"/>
            </a:ext>
          </a:extLst>
        </xdr:cNvPr>
        <xdr:cNvCxnSpPr/>
      </xdr:nvCxnSpPr>
      <xdr:spPr>
        <a:xfrm flipH="1" flipV="1">
          <a:off x="2933700" y="4486275"/>
          <a:ext cx="9525" cy="3429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581025</xdr:colOff>
      <xdr:row>5</xdr:row>
      <xdr:rowOff>304800</xdr:rowOff>
    </xdr:from>
    <xdr:to>
      <xdr:col>14</xdr:col>
      <xdr:colOff>466725</xdr:colOff>
      <xdr:row>5</xdr:row>
      <xdr:rowOff>304800</xdr:rowOff>
    </xdr:to>
    <xdr:cxnSp macro="">
      <xdr:nvCxnSpPr>
        <xdr:cNvPr id="44" name="Conector reto 43">
          <a:extLst>
            <a:ext uri="{FF2B5EF4-FFF2-40B4-BE49-F238E27FC236}">
              <a16:creationId xmlns:a16="http://schemas.microsoft.com/office/drawing/2014/main" id="{843FE3DA-A100-42BA-81F9-737A3EC53A20}"/>
            </a:ext>
          </a:extLst>
        </xdr:cNvPr>
        <xdr:cNvCxnSpPr/>
      </xdr:nvCxnSpPr>
      <xdr:spPr>
        <a:xfrm>
          <a:off x="1924050" y="2324100"/>
          <a:ext cx="340995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561975</xdr:colOff>
      <xdr:row>4</xdr:row>
      <xdr:rowOff>552450</xdr:rowOff>
    </xdr:from>
    <xdr:to>
      <xdr:col>11</xdr:col>
      <xdr:colOff>561975</xdr:colOff>
      <xdr:row>5</xdr:row>
      <xdr:rowOff>295275</xdr:rowOff>
    </xdr:to>
    <xdr:cxnSp macro="">
      <xdr:nvCxnSpPr>
        <xdr:cNvPr id="45" name="Conector de Seta Reta 44">
          <a:extLst>
            <a:ext uri="{FF2B5EF4-FFF2-40B4-BE49-F238E27FC236}">
              <a16:creationId xmlns:a16="http://schemas.microsoft.com/office/drawing/2014/main" id="{62CB8774-7A69-4E8B-BCCC-94439EDF1D7E}"/>
            </a:ext>
          </a:extLst>
        </xdr:cNvPr>
        <xdr:cNvCxnSpPr/>
      </xdr:nvCxnSpPr>
      <xdr:spPr>
        <a:xfrm flipV="1">
          <a:off x="2686050" y="2009775"/>
          <a:ext cx="0" cy="3048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428625</xdr:colOff>
      <xdr:row>4</xdr:row>
      <xdr:rowOff>542925</xdr:rowOff>
    </xdr:from>
    <xdr:to>
      <xdr:col>12</xdr:col>
      <xdr:colOff>428625</xdr:colOff>
      <xdr:row>5</xdr:row>
      <xdr:rowOff>314325</xdr:rowOff>
    </xdr:to>
    <xdr:cxnSp macro="">
      <xdr:nvCxnSpPr>
        <xdr:cNvPr id="46" name="Conector de Seta Reta 45">
          <a:extLst>
            <a:ext uri="{FF2B5EF4-FFF2-40B4-BE49-F238E27FC236}">
              <a16:creationId xmlns:a16="http://schemas.microsoft.com/office/drawing/2014/main" id="{8F1401A5-1460-432A-B86C-111D1BD66FDD}"/>
            </a:ext>
          </a:extLst>
        </xdr:cNvPr>
        <xdr:cNvCxnSpPr/>
      </xdr:nvCxnSpPr>
      <xdr:spPr>
        <a:xfrm flipV="1">
          <a:off x="3648075" y="2000250"/>
          <a:ext cx="0" cy="3333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466725</xdr:colOff>
      <xdr:row>4</xdr:row>
      <xdr:rowOff>552450</xdr:rowOff>
    </xdr:from>
    <xdr:to>
      <xdr:col>13</xdr:col>
      <xdr:colOff>466725</xdr:colOff>
      <xdr:row>5</xdr:row>
      <xdr:rowOff>314325</xdr:rowOff>
    </xdr:to>
    <xdr:cxnSp macro="">
      <xdr:nvCxnSpPr>
        <xdr:cNvPr id="47" name="Conector de Seta Reta 46">
          <a:extLst>
            <a:ext uri="{FF2B5EF4-FFF2-40B4-BE49-F238E27FC236}">
              <a16:creationId xmlns:a16="http://schemas.microsoft.com/office/drawing/2014/main" id="{9C07424C-1AEC-4334-9BE1-8715ACF92310}"/>
            </a:ext>
          </a:extLst>
        </xdr:cNvPr>
        <xdr:cNvCxnSpPr/>
      </xdr:nvCxnSpPr>
      <xdr:spPr>
        <a:xfrm flipV="1">
          <a:off x="4467225" y="2009775"/>
          <a:ext cx="0" cy="3238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466725</xdr:colOff>
      <xdr:row>4</xdr:row>
      <xdr:rowOff>552450</xdr:rowOff>
    </xdr:from>
    <xdr:to>
      <xdr:col>14</xdr:col>
      <xdr:colOff>466725</xdr:colOff>
      <xdr:row>5</xdr:row>
      <xdr:rowOff>323850</xdr:rowOff>
    </xdr:to>
    <xdr:cxnSp macro="">
      <xdr:nvCxnSpPr>
        <xdr:cNvPr id="48" name="Conector de Seta Reta 47">
          <a:extLst>
            <a:ext uri="{FF2B5EF4-FFF2-40B4-BE49-F238E27FC236}">
              <a16:creationId xmlns:a16="http://schemas.microsoft.com/office/drawing/2014/main" id="{DBFE310B-40EC-4AB9-A36D-64B87725BCA2}"/>
            </a:ext>
          </a:extLst>
        </xdr:cNvPr>
        <xdr:cNvCxnSpPr/>
      </xdr:nvCxnSpPr>
      <xdr:spPr>
        <a:xfrm flipV="1">
          <a:off x="5334000" y="2009775"/>
          <a:ext cx="0" cy="3333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581025</xdr:colOff>
      <xdr:row>5</xdr:row>
      <xdr:rowOff>9525</xdr:rowOff>
    </xdr:from>
    <xdr:to>
      <xdr:col>10</xdr:col>
      <xdr:colOff>581025</xdr:colOff>
      <xdr:row>5</xdr:row>
      <xdr:rowOff>314325</xdr:rowOff>
    </xdr:to>
    <xdr:cxnSp macro="">
      <xdr:nvCxnSpPr>
        <xdr:cNvPr id="49" name="Conector reto 48">
          <a:extLst>
            <a:ext uri="{FF2B5EF4-FFF2-40B4-BE49-F238E27FC236}">
              <a16:creationId xmlns:a16="http://schemas.microsoft.com/office/drawing/2014/main" id="{1F693C19-8400-4E03-9801-295825B07CE4}"/>
            </a:ext>
          </a:extLst>
        </xdr:cNvPr>
        <xdr:cNvCxnSpPr/>
      </xdr:nvCxnSpPr>
      <xdr:spPr>
        <a:xfrm flipV="1">
          <a:off x="1924050" y="2028825"/>
          <a:ext cx="0" cy="3048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714375</xdr:colOff>
      <xdr:row>9</xdr:row>
      <xdr:rowOff>0</xdr:rowOff>
    </xdr:from>
    <xdr:to>
      <xdr:col>11</xdr:col>
      <xdr:colOff>723900</xdr:colOff>
      <xdr:row>9</xdr:row>
      <xdr:rowOff>314325</xdr:rowOff>
    </xdr:to>
    <xdr:cxnSp macro="">
      <xdr:nvCxnSpPr>
        <xdr:cNvPr id="52" name="Conector de Seta Reta 51">
          <a:extLst>
            <a:ext uri="{FF2B5EF4-FFF2-40B4-BE49-F238E27FC236}">
              <a16:creationId xmlns:a16="http://schemas.microsoft.com/office/drawing/2014/main" id="{6BE49DEE-EF77-4089-8058-77B3B1D43BA5}"/>
            </a:ext>
          </a:extLst>
        </xdr:cNvPr>
        <xdr:cNvCxnSpPr/>
      </xdr:nvCxnSpPr>
      <xdr:spPr>
        <a:xfrm flipH="1" flipV="1">
          <a:off x="10658475" y="3057525"/>
          <a:ext cx="9525" cy="3143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581025</xdr:colOff>
      <xdr:row>9</xdr:row>
      <xdr:rowOff>9525</xdr:rowOff>
    </xdr:from>
    <xdr:to>
      <xdr:col>10</xdr:col>
      <xdr:colOff>581025</xdr:colOff>
      <xdr:row>9</xdr:row>
      <xdr:rowOff>314325</xdr:rowOff>
    </xdr:to>
    <xdr:cxnSp macro="">
      <xdr:nvCxnSpPr>
        <xdr:cNvPr id="53" name="Conector reto 52">
          <a:extLst>
            <a:ext uri="{FF2B5EF4-FFF2-40B4-BE49-F238E27FC236}">
              <a16:creationId xmlns:a16="http://schemas.microsoft.com/office/drawing/2014/main" id="{43B2EA35-C4C7-4A8F-9A2C-947BC0ED724D}"/>
            </a:ext>
          </a:extLst>
        </xdr:cNvPr>
        <xdr:cNvCxnSpPr/>
      </xdr:nvCxnSpPr>
      <xdr:spPr>
        <a:xfrm flipV="1">
          <a:off x="9182100" y="1733550"/>
          <a:ext cx="0" cy="3048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581025</xdr:colOff>
      <xdr:row>9</xdr:row>
      <xdr:rowOff>323850</xdr:rowOff>
    </xdr:from>
    <xdr:to>
      <xdr:col>11</xdr:col>
      <xdr:colOff>723900</xdr:colOff>
      <xdr:row>9</xdr:row>
      <xdr:rowOff>323850</xdr:rowOff>
    </xdr:to>
    <xdr:cxnSp macro="">
      <xdr:nvCxnSpPr>
        <xdr:cNvPr id="55" name="Conector reto 54">
          <a:extLst>
            <a:ext uri="{FF2B5EF4-FFF2-40B4-BE49-F238E27FC236}">
              <a16:creationId xmlns:a16="http://schemas.microsoft.com/office/drawing/2014/main" id="{582394B9-1661-BB64-4E29-9E7F73DC3B39}"/>
            </a:ext>
          </a:extLst>
        </xdr:cNvPr>
        <xdr:cNvCxnSpPr/>
      </xdr:nvCxnSpPr>
      <xdr:spPr>
        <a:xfrm>
          <a:off x="9182100" y="3381375"/>
          <a:ext cx="148590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EDEB3-D16C-4E4E-A760-37B002DE705B}">
  <dimension ref="B2:G12"/>
  <sheetViews>
    <sheetView tabSelected="1" zoomScale="120" zoomScaleNormal="120" workbookViewId="0">
      <selection activeCell="F13" sqref="F13"/>
    </sheetView>
  </sheetViews>
  <sheetFormatPr defaultRowHeight="15" x14ac:dyDescent="0.25"/>
  <cols>
    <col min="2" max="2" width="9.85546875" bestFit="1" customWidth="1"/>
    <col min="3" max="3" width="14.5703125" customWidth="1"/>
    <col min="4" max="4" width="14.7109375" customWidth="1"/>
    <col min="5" max="5" width="7.7109375" customWidth="1"/>
    <col min="6" max="6" width="15.140625" bestFit="1" customWidth="1"/>
    <col min="7" max="7" width="14" bestFit="1" customWidth="1"/>
  </cols>
  <sheetData>
    <row r="2" spans="2:7" ht="21" x14ac:dyDescent="0.35">
      <c r="B2" s="55" t="s">
        <v>0</v>
      </c>
      <c r="C2" s="55"/>
      <c r="D2" s="55"/>
      <c r="E2" s="55"/>
      <c r="F2" s="55"/>
      <c r="G2" s="55"/>
    </row>
    <row r="3" spans="2:7" ht="21" x14ac:dyDescent="0.35">
      <c r="B3" s="53" t="s">
        <v>1</v>
      </c>
      <c r="C3" s="53"/>
      <c r="D3" s="53"/>
      <c r="E3" s="53"/>
      <c r="F3" s="53"/>
      <c r="G3" s="53"/>
    </row>
    <row r="4" spans="2:7" ht="21" x14ac:dyDescent="0.35">
      <c r="B4" s="53" t="s">
        <v>2</v>
      </c>
      <c r="C4" s="53"/>
      <c r="D4" s="53"/>
      <c r="E4" s="53"/>
      <c r="F4" s="53"/>
      <c r="G4" s="53"/>
    </row>
    <row r="5" spans="2:7" ht="21" x14ac:dyDescent="0.35">
      <c r="B5" s="53" t="s">
        <v>3</v>
      </c>
      <c r="C5" s="53"/>
      <c r="D5" s="53"/>
      <c r="E5" s="53"/>
      <c r="F5" s="53"/>
      <c r="G5" s="53"/>
    </row>
    <row r="6" spans="2:7" ht="21" x14ac:dyDescent="0.35">
      <c r="B6" s="2" t="s">
        <v>4</v>
      </c>
      <c r="C6" s="53" t="s">
        <v>5</v>
      </c>
      <c r="D6" s="53"/>
      <c r="E6" s="2" t="s">
        <v>6</v>
      </c>
      <c r="F6" s="3" t="s">
        <v>7</v>
      </c>
      <c r="G6" s="3" t="s">
        <v>8</v>
      </c>
    </row>
    <row r="7" spans="2:7" ht="43.5" customHeight="1" x14ac:dyDescent="0.35">
      <c r="B7" s="2">
        <v>123</v>
      </c>
      <c r="C7" s="54" t="s">
        <v>9</v>
      </c>
      <c r="D7" s="54"/>
      <c r="E7" s="2">
        <v>2</v>
      </c>
      <c r="F7" s="5">
        <v>8</v>
      </c>
      <c r="G7" s="5">
        <f>E7*F7</f>
        <v>16</v>
      </c>
    </row>
    <row r="8" spans="2:7" ht="21" x14ac:dyDescent="0.35">
      <c r="B8" s="2">
        <v>124</v>
      </c>
      <c r="C8" s="52" t="s">
        <v>10</v>
      </c>
      <c r="D8" s="52"/>
      <c r="E8" s="2">
        <v>1</v>
      </c>
      <c r="F8" s="5">
        <v>1.5</v>
      </c>
      <c r="G8" s="5">
        <f t="shared" ref="G8:G11" si="0">E8*F8</f>
        <v>1.5</v>
      </c>
    </row>
    <row r="9" spans="2:7" ht="21" x14ac:dyDescent="0.35">
      <c r="B9" s="2">
        <v>125</v>
      </c>
      <c r="C9" s="52" t="s">
        <v>11</v>
      </c>
      <c r="D9" s="52"/>
      <c r="E9" s="2">
        <v>1</v>
      </c>
      <c r="F9" s="5">
        <v>1.5</v>
      </c>
      <c r="G9" s="5">
        <f t="shared" si="0"/>
        <v>1.5</v>
      </c>
    </row>
    <row r="10" spans="2:7" ht="21" x14ac:dyDescent="0.35">
      <c r="B10" s="2">
        <v>126</v>
      </c>
      <c r="C10" s="52" t="s">
        <v>12</v>
      </c>
      <c r="D10" s="52"/>
      <c r="E10" s="2">
        <v>1</v>
      </c>
      <c r="F10" s="5">
        <v>12</v>
      </c>
      <c r="G10" s="5">
        <f t="shared" si="0"/>
        <v>12</v>
      </c>
    </row>
    <row r="11" spans="2:7" ht="21" x14ac:dyDescent="0.35">
      <c r="B11" s="2">
        <v>127</v>
      </c>
      <c r="C11" s="52" t="s">
        <v>13</v>
      </c>
      <c r="D11" s="52"/>
      <c r="E11" s="2">
        <v>10</v>
      </c>
      <c r="F11" s="5">
        <v>15</v>
      </c>
      <c r="G11" s="5">
        <f t="shared" si="0"/>
        <v>150</v>
      </c>
    </row>
    <row r="12" spans="2:7" ht="21" x14ac:dyDescent="0.35">
      <c r="B12" s="53" t="s">
        <v>14</v>
      </c>
      <c r="C12" s="53"/>
      <c r="D12" s="53"/>
      <c r="E12" s="53"/>
      <c r="F12" s="53"/>
      <c r="G12" s="7">
        <f>SUM(G7:G11)</f>
        <v>181</v>
      </c>
    </row>
  </sheetData>
  <mergeCells count="11">
    <mergeCell ref="C7:D7"/>
    <mergeCell ref="B3:G3"/>
    <mergeCell ref="B2:G2"/>
    <mergeCell ref="B4:G4"/>
    <mergeCell ref="B5:G5"/>
    <mergeCell ref="C6:D6"/>
    <mergeCell ref="C8:D8"/>
    <mergeCell ref="C9:D9"/>
    <mergeCell ref="C10:D10"/>
    <mergeCell ref="C11:D11"/>
    <mergeCell ref="B12:F12"/>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A3269-F5A1-48EB-946E-619968E39832}">
  <dimension ref="B1:L9"/>
  <sheetViews>
    <sheetView workbookViewId="0">
      <selection activeCell="B3" sqref="B3"/>
    </sheetView>
  </sheetViews>
  <sheetFormatPr defaultRowHeight="15" x14ac:dyDescent="0.25"/>
  <cols>
    <col min="2" max="2" width="10.85546875" bestFit="1" customWidth="1"/>
    <col min="3" max="3" width="11.7109375" bestFit="1" customWidth="1"/>
    <col min="4" max="4" width="23.42578125" bestFit="1" customWidth="1"/>
    <col min="5" max="5" width="14.5703125" bestFit="1" customWidth="1"/>
    <col min="6" max="6" width="4.5703125" bestFit="1" customWidth="1"/>
    <col min="7" max="7" width="8.42578125" bestFit="1" customWidth="1"/>
    <col min="8" max="8" width="27.85546875" customWidth="1"/>
    <col min="9" max="9" width="8" bestFit="1" customWidth="1"/>
    <col min="10" max="10" width="13.140625" bestFit="1" customWidth="1"/>
    <col min="11" max="12" width="9.85546875" bestFit="1" customWidth="1"/>
  </cols>
  <sheetData>
    <row r="1" spans="2:12" x14ac:dyDescent="0.25">
      <c r="H1" s="1"/>
    </row>
    <row r="2" spans="2:12" x14ac:dyDescent="0.25">
      <c r="H2" s="12"/>
    </row>
    <row r="3" spans="2:12" ht="44.25" customHeight="1" x14ac:dyDescent="0.35">
      <c r="B3" s="11" t="s">
        <v>15</v>
      </c>
      <c r="C3" s="2" t="s">
        <v>16</v>
      </c>
      <c r="D3" s="2" t="s">
        <v>17</v>
      </c>
      <c r="E3" s="2" t="s">
        <v>18</v>
      </c>
      <c r="F3" s="2" t="s">
        <v>19</v>
      </c>
      <c r="G3" s="11" t="s">
        <v>33</v>
      </c>
      <c r="H3" s="11" t="s">
        <v>20</v>
      </c>
      <c r="I3" s="2" t="s">
        <v>21</v>
      </c>
      <c r="J3" s="11" t="s">
        <v>22</v>
      </c>
      <c r="K3" s="11" t="s">
        <v>23</v>
      </c>
      <c r="L3" s="11" t="s">
        <v>34</v>
      </c>
    </row>
    <row r="4" spans="2:12" ht="42" x14ac:dyDescent="0.35">
      <c r="B4" s="2">
        <v>347</v>
      </c>
      <c r="C4" s="6" t="s">
        <v>47</v>
      </c>
      <c r="D4" s="6" t="s">
        <v>26</v>
      </c>
      <c r="E4" s="2" t="s">
        <v>27</v>
      </c>
      <c r="F4" s="2" t="s">
        <v>28</v>
      </c>
      <c r="G4" s="2">
        <v>123</v>
      </c>
      <c r="H4" s="4" t="s">
        <v>9</v>
      </c>
      <c r="I4" s="2">
        <v>2</v>
      </c>
      <c r="J4" s="5">
        <v>8</v>
      </c>
      <c r="K4" s="5">
        <f>I4*J4</f>
        <v>16</v>
      </c>
      <c r="L4" s="2" t="s">
        <v>25</v>
      </c>
    </row>
    <row r="5" spans="2:12" ht="42" x14ac:dyDescent="0.35">
      <c r="B5" s="2">
        <v>347</v>
      </c>
      <c r="C5" s="6" t="s">
        <v>47</v>
      </c>
      <c r="D5" s="6" t="s">
        <v>29</v>
      </c>
      <c r="E5" s="2" t="s">
        <v>27</v>
      </c>
      <c r="F5" s="2" t="s">
        <v>28</v>
      </c>
      <c r="G5" s="2">
        <v>124</v>
      </c>
      <c r="H5" s="6" t="s">
        <v>10</v>
      </c>
      <c r="I5" s="2">
        <v>1</v>
      </c>
      <c r="J5" s="5">
        <v>1.5</v>
      </c>
      <c r="K5" s="5">
        <f t="shared" ref="K5:K8" si="0">I5*J5</f>
        <v>1.5</v>
      </c>
      <c r="L5" s="2" t="s">
        <v>25</v>
      </c>
    </row>
    <row r="6" spans="2:12" ht="42" x14ac:dyDescent="0.35">
      <c r="B6" s="2">
        <v>347</v>
      </c>
      <c r="C6" s="6" t="s">
        <v>47</v>
      </c>
      <c r="D6" s="6" t="s">
        <v>30</v>
      </c>
      <c r="E6" s="2" t="s">
        <v>27</v>
      </c>
      <c r="F6" s="2" t="s">
        <v>28</v>
      </c>
      <c r="G6" s="2">
        <v>125</v>
      </c>
      <c r="H6" s="6" t="s">
        <v>11</v>
      </c>
      <c r="I6" s="2">
        <v>1</v>
      </c>
      <c r="J6" s="5">
        <v>1.5</v>
      </c>
      <c r="K6" s="5">
        <f t="shared" si="0"/>
        <v>1.5</v>
      </c>
      <c r="L6" s="2" t="s">
        <v>25</v>
      </c>
    </row>
    <row r="7" spans="2:12" ht="42" x14ac:dyDescent="0.35">
      <c r="B7" s="2">
        <v>347</v>
      </c>
      <c r="C7" s="6" t="s">
        <v>47</v>
      </c>
      <c r="D7" s="6" t="s">
        <v>31</v>
      </c>
      <c r="E7" s="2" t="s">
        <v>27</v>
      </c>
      <c r="F7" s="2" t="s">
        <v>28</v>
      </c>
      <c r="G7" s="2">
        <v>127</v>
      </c>
      <c r="H7" s="6" t="s">
        <v>13</v>
      </c>
      <c r="I7" s="2">
        <v>10</v>
      </c>
      <c r="J7" s="5">
        <v>15</v>
      </c>
      <c r="K7" s="5">
        <f t="shared" si="0"/>
        <v>150</v>
      </c>
      <c r="L7" s="2" t="s">
        <v>25</v>
      </c>
    </row>
    <row r="8" spans="2:12" ht="42" x14ac:dyDescent="0.35">
      <c r="B8" s="2">
        <v>347</v>
      </c>
      <c r="C8" s="6" t="s">
        <v>47</v>
      </c>
      <c r="D8" s="6" t="s">
        <v>32</v>
      </c>
      <c r="E8" s="2" t="s">
        <v>27</v>
      </c>
      <c r="F8" s="2" t="s">
        <v>28</v>
      </c>
      <c r="G8" s="2">
        <v>126</v>
      </c>
      <c r="H8" s="6" t="s">
        <v>12</v>
      </c>
      <c r="I8" s="2">
        <v>1</v>
      </c>
      <c r="J8" s="5">
        <v>12</v>
      </c>
      <c r="K8" s="5">
        <f t="shared" si="0"/>
        <v>12</v>
      </c>
      <c r="L8" s="2" t="s">
        <v>25</v>
      </c>
    </row>
    <row r="9" spans="2:12" ht="21" x14ac:dyDescent="0.35">
      <c r="G9" s="9"/>
      <c r="H9" s="10"/>
    </row>
  </sheetData>
  <phoneticPr fontId="6" type="noConversion"/>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0DF0-F0D2-4E1D-8494-48024A6C6C35}">
  <dimension ref="B2:AA14"/>
  <sheetViews>
    <sheetView workbookViewId="0">
      <selection activeCell="A2" sqref="A2"/>
    </sheetView>
  </sheetViews>
  <sheetFormatPr defaultRowHeight="15" x14ac:dyDescent="0.25"/>
  <cols>
    <col min="2" max="2" width="10.85546875" bestFit="1" customWidth="1"/>
    <col min="3" max="3" width="11.7109375" bestFit="1" customWidth="1"/>
    <col min="4" max="4" width="16" customWidth="1"/>
    <col min="5" max="5" width="11.7109375" bestFit="1" customWidth="1"/>
    <col min="6" max="6" width="13.140625" bestFit="1" customWidth="1"/>
    <col min="7" max="7" width="12.85546875" customWidth="1"/>
    <col min="8" max="9" width="15.5703125" bestFit="1" customWidth="1"/>
    <col min="10" max="10" width="13.140625" bestFit="1" customWidth="1"/>
    <col min="11" max="11" width="11" bestFit="1" customWidth="1"/>
    <col min="12" max="12" width="11.7109375" bestFit="1" customWidth="1"/>
    <col min="13" max="13" width="16.42578125" customWidth="1"/>
    <col min="14" max="14" width="11.7109375" bestFit="1" customWidth="1"/>
    <col min="15" max="15" width="13" customWidth="1"/>
    <col min="16" max="16" width="11.7109375" bestFit="1" customWidth="1"/>
    <col min="17" max="18" width="15.5703125" bestFit="1" customWidth="1"/>
    <col min="20" max="20" width="11" bestFit="1" customWidth="1"/>
    <col min="21" max="21" width="12.5703125" bestFit="1" customWidth="1"/>
    <col min="22" max="22" width="11.7109375" bestFit="1" customWidth="1"/>
    <col min="23" max="23" width="25.42578125" customWidth="1"/>
    <col min="24" max="24" width="12.85546875" customWidth="1"/>
    <col min="25" max="25" width="13.140625" customWidth="1"/>
    <col min="26" max="27" width="15.5703125" bestFit="1" customWidth="1"/>
  </cols>
  <sheetData>
    <row r="2" spans="2:27" x14ac:dyDescent="0.25">
      <c r="B2">
        <v>1</v>
      </c>
      <c r="K2">
        <v>2</v>
      </c>
      <c r="T2">
        <v>3</v>
      </c>
    </row>
    <row r="3" spans="2:27" ht="63" customHeight="1" x14ac:dyDescent="0.35">
      <c r="B3" s="57" t="s">
        <v>43</v>
      </c>
      <c r="C3" s="57"/>
      <c r="D3" s="57"/>
      <c r="E3" s="57"/>
      <c r="F3" s="57"/>
      <c r="G3" s="57"/>
      <c r="H3" s="57"/>
      <c r="I3" s="57"/>
      <c r="K3" s="57" t="s">
        <v>44</v>
      </c>
      <c r="L3" s="57"/>
      <c r="M3" s="57"/>
      <c r="N3" s="57"/>
      <c r="O3" s="57"/>
      <c r="P3" s="57"/>
      <c r="Q3" s="57"/>
      <c r="R3" s="57"/>
      <c r="T3" s="57" t="s">
        <v>52</v>
      </c>
      <c r="U3" s="57"/>
      <c r="V3" s="57"/>
      <c r="W3" s="57"/>
      <c r="X3" s="57"/>
      <c r="Y3" s="57"/>
      <c r="Z3" s="57"/>
      <c r="AA3" s="57"/>
    </row>
    <row r="4" spans="2:27" ht="21.75" customHeight="1" x14ac:dyDescent="0.35">
      <c r="H4" s="1"/>
      <c r="K4" s="17" t="s">
        <v>45</v>
      </c>
      <c r="Q4" s="1"/>
      <c r="T4" s="18" t="s">
        <v>50</v>
      </c>
    </row>
    <row r="5" spans="2:27" ht="44.25" customHeight="1" x14ac:dyDescent="0.35">
      <c r="B5" s="16" t="s">
        <v>15</v>
      </c>
      <c r="C5" s="11" t="s">
        <v>35</v>
      </c>
      <c r="D5" s="11" t="s">
        <v>36</v>
      </c>
      <c r="E5" s="11" t="s">
        <v>38</v>
      </c>
      <c r="F5" s="11" t="s">
        <v>39</v>
      </c>
      <c r="G5" s="11" t="s">
        <v>40</v>
      </c>
      <c r="H5" s="11" t="s">
        <v>41</v>
      </c>
      <c r="I5" s="11" t="s">
        <v>42</v>
      </c>
      <c r="J5" s="13"/>
      <c r="K5" s="16" t="s">
        <v>15</v>
      </c>
      <c r="L5" s="11" t="s">
        <v>35</v>
      </c>
      <c r="M5" s="11" t="s">
        <v>36</v>
      </c>
      <c r="N5" s="11" t="s">
        <v>38</v>
      </c>
      <c r="O5" s="11" t="s">
        <v>39</v>
      </c>
      <c r="P5" s="11" t="s">
        <v>40</v>
      </c>
      <c r="Q5" s="11" t="s">
        <v>41</v>
      </c>
      <c r="R5" s="11" t="s">
        <v>42</v>
      </c>
      <c r="T5" s="16" t="s">
        <v>15</v>
      </c>
      <c r="U5" s="11" t="s">
        <v>35</v>
      </c>
      <c r="V5" s="11" t="s">
        <v>36</v>
      </c>
      <c r="W5" s="11" t="s">
        <v>38</v>
      </c>
      <c r="X5" s="11" t="s">
        <v>39</v>
      </c>
      <c r="Y5" s="11" t="s">
        <v>40</v>
      </c>
      <c r="Z5" s="11" t="s">
        <v>42</v>
      </c>
    </row>
    <row r="6" spans="2:27" ht="44.25" customHeight="1" x14ac:dyDescent="0.35">
      <c r="B6" s="9"/>
      <c r="C6" s="9"/>
      <c r="D6" s="10"/>
      <c r="E6" s="9"/>
      <c r="F6" s="9"/>
      <c r="G6" s="9"/>
      <c r="H6" s="15"/>
      <c r="I6" s="9"/>
      <c r="J6" s="14"/>
      <c r="K6" s="9"/>
      <c r="L6" s="9"/>
      <c r="M6" s="10"/>
      <c r="N6" s="9"/>
      <c r="O6" s="9"/>
      <c r="P6" s="9"/>
      <c r="Q6" s="15"/>
      <c r="R6" s="9"/>
      <c r="T6" s="2">
        <v>347</v>
      </c>
      <c r="U6" s="11">
        <v>341</v>
      </c>
      <c r="V6" s="6" t="s">
        <v>47</v>
      </c>
      <c r="W6" s="6" t="s">
        <v>26</v>
      </c>
      <c r="X6" s="6" t="s">
        <v>49</v>
      </c>
      <c r="Y6" s="2" t="s">
        <v>28</v>
      </c>
      <c r="Z6" s="2" t="s">
        <v>25</v>
      </c>
      <c r="AA6" s="9"/>
    </row>
    <row r="7" spans="2:27" ht="21" x14ac:dyDescent="0.35">
      <c r="B7" s="9"/>
      <c r="C7" s="9"/>
      <c r="D7" s="10"/>
      <c r="E7" s="9"/>
      <c r="F7" s="9"/>
      <c r="G7" s="9"/>
      <c r="H7" s="10"/>
      <c r="I7" s="9"/>
      <c r="J7" s="14"/>
      <c r="K7" s="9"/>
      <c r="L7" s="9"/>
      <c r="M7" s="10"/>
      <c r="N7" s="9"/>
      <c r="O7" s="9"/>
      <c r="P7" s="9"/>
      <c r="Q7" s="10"/>
      <c r="R7" s="9"/>
    </row>
    <row r="8" spans="2:27" ht="27" customHeight="1" x14ac:dyDescent="0.35">
      <c r="B8" s="9"/>
      <c r="C8" s="9"/>
      <c r="D8" s="10"/>
      <c r="E8" s="9"/>
      <c r="F8" s="9"/>
      <c r="G8" s="9"/>
      <c r="H8" s="10"/>
      <c r="I8" s="9"/>
      <c r="J8" s="14"/>
      <c r="K8" s="17" t="s">
        <v>46</v>
      </c>
      <c r="M8" s="10"/>
      <c r="N8" s="9"/>
      <c r="O8" s="9"/>
      <c r="P8" s="9"/>
      <c r="Q8" s="10"/>
      <c r="R8" s="9"/>
      <c r="T8" s="18" t="s">
        <v>51</v>
      </c>
    </row>
    <row r="9" spans="2:27" ht="40.5" customHeight="1" x14ac:dyDescent="0.35">
      <c r="B9" s="9"/>
      <c r="C9" s="11" t="s">
        <v>33</v>
      </c>
      <c r="D9" s="11" t="s">
        <v>37</v>
      </c>
      <c r="E9" s="11" t="s">
        <v>21</v>
      </c>
      <c r="F9" s="11" t="s">
        <v>22</v>
      </c>
      <c r="G9" s="11" t="s">
        <v>23</v>
      </c>
      <c r="H9" s="10"/>
      <c r="I9" s="9"/>
      <c r="J9" s="14"/>
      <c r="K9" s="16" t="s">
        <v>15</v>
      </c>
      <c r="L9" s="16" t="s">
        <v>33</v>
      </c>
      <c r="M9" s="11" t="s">
        <v>37</v>
      </c>
      <c r="N9" s="11" t="s">
        <v>21</v>
      </c>
      <c r="O9" s="11" t="s">
        <v>22</v>
      </c>
      <c r="P9" s="11" t="s">
        <v>23</v>
      </c>
      <c r="Q9" s="10"/>
      <c r="R9" s="9"/>
      <c r="T9" s="16" t="s">
        <v>15</v>
      </c>
      <c r="U9" s="16" t="s">
        <v>33</v>
      </c>
      <c r="V9" s="58" t="s">
        <v>20</v>
      </c>
      <c r="W9" s="58"/>
      <c r="X9" s="11" t="s">
        <v>21</v>
      </c>
      <c r="Y9" s="11" t="s">
        <v>22</v>
      </c>
      <c r="Z9" s="11" t="s">
        <v>23</v>
      </c>
    </row>
    <row r="10" spans="2:27" ht="21" x14ac:dyDescent="0.35">
      <c r="G10" s="9"/>
      <c r="H10" s="10"/>
      <c r="P10" s="9"/>
      <c r="Q10" s="10"/>
      <c r="T10" s="2">
        <v>347</v>
      </c>
      <c r="U10" s="2">
        <v>123</v>
      </c>
      <c r="V10" s="59" t="s">
        <v>9</v>
      </c>
      <c r="W10" s="59"/>
      <c r="X10" s="2">
        <v>2</v>
      </c>
      <c r="Y10" s="5">
        <v>8</v>
      </c>
      <c r="Z10" s="5">
        <f>X10*Y10</f>
        <v>16</v>
      </c>
    </row>
    <row r="11" spans="2:27" ht="21" x14ac:dyDescent="0.35">
      <c r="T11" s="2">
        <v>347</v>
      </c>
      <c r="U11" s="2">
        <v>124</v>
      </c>
      <c r="V11" s="59" t="s">
        <v>10</v>
      </c>
      <c r="W11" s="59"/>
      <c r="X11" s="2">
        <v>1</v>
      </c>
      <c r="Y11" s="5">
        <v>1.5</v>
      </c>
      <c r="Z11" s="5">
        <f t="shared" ref="Z11:Z14" si="0">X11*Y11</f>
        <v>1.5</v>
      </c>
    </row>
    <row r="12" spans="2:27" ht="21" x14ac:dyDescent="0.35">
      <c r="T12" s="2">
        <v>347</v>
      </c>
      <c r="U12" s="2">
        <v>125</v>
      </c>
      <c r="V12" s="56" t="s">
        <v>11</v>
      </c>
      <c r="W12" s="56"/>
      <c r="X12" s="2">
        <v>1</v>
      </c>
      <c r="Y12" s="5">
        <v>1.5</v>
      </c>
      <c r="Z12" s="5">
        <f t="shared" si="0"/>
        <v>1.5</v>
      </c>
    </row>
    <row r="13" spans="2:27" ht="21" x14ac:dyDescent="0.35">
      <c r="T13" s="2">
        <v>347</v>
      </c>
      <c r="U13" s="2">
        <v>126</v>
      </c>
      <c r="V13" s="56" t="s">
        <v>13</v>
      </c>
      <c r="W13" s="56"/>
      <c r="X13" s="2">
        <v>10</v>
      </c>
      <c r="Y13" s="5">
        <v>15</v>
      </c>
      <c r="Z13" s="5">
        <f t="shared" si="0"/>
        <v>150</v>
      </c>
    </row>
    <row r="14" spans="2:27" ht="21" x14ac:dyDescent="0.35">
      <c r="T14" s="2">
        <v>347</v>
      </c>
      <c r="U14" s="2">
        <v>127</v>
      </c>
      <c r="V14" s="56" t="s">
        <v>12</v>
      </c>
      <c r="W14" s="56"/>
      <c r="X14" s="2">
        <v>1</v>
      </c>
      <c r="Y14" s="5">
        <v>12</v>
      </c>
      <c r="Z14" s="5">
        <f t="shared" si="0"/>
        <v>12</v>
      </c>
    </row>
  </sheetData>
  <mergeCells count="9">
    <mergeCell ref="V13:W13"/>
    <mergeCell ref="V14:W14"/>
    <mergeCell ref="T3:AA3"/>
    <mergeCell ref="B3:I3"/>
    <mergeCell ref="K3:R3"/>
    <mergeCell ref="V9:W9"/>
    <mergeCell ref="V10:W10"/>
    <mergeCell ref="V11:W11"/>
    <mergeCell ref="V12:W12"/>
  </mergeCells>
  <pageMargins left="0.511811024" right="0.511811024" top="0.78740157499999996" bottom="0.78740157499999996" header="0.31496062000000002" footer="0.3149606200000000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B61A5-10FF-4E32-82E7-D80B6FE4E1AA}">
  <dimension ref="B2:R22"/>
  <sheetViews>
    <sheetView topLeftCell="H7" workbookViewId="0">
      <selection activeCell="S13" sqref="S13"/>
    </sheetView>
  </sheetViews>
  <sheetFormatPr defaultRowHeight="15" x14ac:dyDescent="0.25"/>
  <cols>
    <col min="2" max="2" width="11" bestFit="1" customWidth="1"/>
    <col min="3" max="3" width="11.7109375" bestFit="1" customWidth="1"/>
    <col min="4" max="4" width="16.42578125" customWidth="1"/>
    <col min="5" max="5" width="11.7109375" bestFit="1" customWidth="1"/>
    <col min="6" max="6" width="13" customWidth="1"/>
    <col min="7" max="7" width="11.7109375" bestFit="1" customWidth="1"/>
    <col min="8" max="9" width="15.5703125" bestFit="1" customWidth="1"/>
    <col min="11" max="11" width="11" bestFit="1" customWidth="1"/>
    <col min="12" max="12" width="12.5703125" bestFit="1" customWidth="1"/>
    <col min="13" max="13" width="11.7109375" bestFit="1" customWidth="1"/>
    <col min="14" max="14" width="25.42578125" customWidth="1"/>
    <col min="15" max="15" width="16.42578125" customWidth="1"/>
    <col min="16" max="16" width="13.140625" customWidth="1"/>
    <col min="17" max="18" width="15.5703125" bestFit="1" customWidth="1"/>
  </cols>
  <sheetData>
    <row r="2" spans="2:18" x14ac:dyDescent="0.25">
      <c r="B2">
        <v>1</v>
      </c>
      <c r="K2">
        <v>3</v>
      </c>
    </row>
    <row r="3" spans="2:18" ht="63" customHeight="1" x14ac:dyDescent="0.35">
      <c r="B3" s="57" t="s">
        <v>56</v>
      </c>
      <c r="C3" s="57"/>
      <c r="D3" s="57"/>
      <c r="E3" s="57"/>
      <c r="F3" s="57"/>
      <c r="G3" s="57"/>
      <c r="H3" s="57"/>
      <c r="I3" s="57"/>
      <c r="K3" s="57" t="s">
        <v>52</v>
      </c>
      <c r="L3" s="57"/>
      <c r="M3" s="57"/>
      <c r="N3" s="57"/>
      <c r="O3" s="57"/>
      <c r="P3" s="57"/>
      <c r="Q3" s="57"/>
      <c r="R3" s="57"/>
    </row>
    <row r="4" spans="2:18" ht="21.75" customHeight="1" x14ac:dyDescent="0.35">
      <c r="B4" s="17" t="s">
        <v>45</v>
      </c>
      <c r="H4" s="1"/>
      <c r="K4" s="18" t="s">
        <v>50</v>
      </c>
    </row>
    <row r="5" spans="2:18" ht="44.25" customHeight="1" x14ac:dyDescent="0.35">
      <c r="B5" s="16" t="s">
        <v>15</v>
      </c>
      <c r="C5" s="11" t="s">
        <v>35</v>
      </c>
      <c r="D5" s="11" t="s">
        <v>36</v>
      </c>
      <c r="E5" s="11" t="s">
        <v>38</v>
      </c>
      <c r="F5" s="11" t="s">
        <v>39</v>
      </c>
      <c r="G5" s="11" t="s">
        <v>40</v>
      </c>
      <c r="H5" s="11" t="s">
        <v>41</v>
      </c>
      <c r="I5" s="11" t="s">
        <v>42</v>
      </c>
      <c r="K5" s="16" t="s">
        <v>15</v>
      </c>
      <c r="L5" s="63" t="s">
        <v>36</v>
      </c>
      <c r="M5" s="64"/>
      <c r="N5" s="11" t="s">
        <v>38</v>
      </c>
      <c r="O5" s="11" t="s">
        <v>39</v>
      </c>
      <c r="P5" s="11" t="s">
        <v>40</v>
      </c>
      <c r="Q5" s="11" t="s">
        <v>42</v>
      </c>
    </row>
    <row r="6" spans="2:18" ht="26.25" customHeight="1" x14ac:dyDescent="0.35">
      <c r="B6" s="9"/>
      <c r="C6" s="9"/>
      <c r="D6" s="10"/>
      <c r="E6" s="9"/>
      <c r="F6" s="9"/>
      <c r="G6" s="9"/>
      <c r="H6" s="15"/>
      <c r="I6" s="9"/>
      <c r="K6" s="2">
        <v>347</v>
      </c>
      <c r="L6" s="63" t="s">
        <v>47</v>
      </c>
      <c r="M6" s="64"/>
      <c r="N6" s="19" t="s">
        <v>26</v>
      </c>
      <c r="O6" s="6" t="s">
        <v>49</v>
      </c>
      <c r="P6" s="2" t="s">
        <v>28</v>
      </c>
      <c r="Q6" s="2" t="s">
        <v>25</v>
      </c>
      <c r="R6" s="9"/>
    </row>
    <row r="7" spans="2:18" ht="21" x14ac:dyDescent="0.35">
      <c r="B7" s="9"/>
      <c r="C7" s="9"/>
      <c r="D7" s="10"/>
      <c r="E7" s="9"/>
      <c r="F7" s="9"/>
      <c r="G7" s="9"/>
      <c r="H7" s="10"/>
      <c r="I7" s="9"/>
    </row>
    <row r="8" spans="2:18" ht="27" customHeight="1" x14ac:dyDescent="0.35">
      <c r="B8" s="17" t="s">
        <v>46</v>
      </c>
      <c r="D8" s="10"/>
      <c r="E8" s="9"/>
      <c r="F8" s="9"/>
      <c r="G8" s="9"/>
      <c r="H8" s="10"/>
      <c r="I8" s="9"/>
      <c r="K8" s="18" t="s">
        <v>58</v>
      </c>
    </row>
    <row r="9" spans="2:18" ht="40.5" customHeight="1" x14ac:dyDescent="0.35">
      <c r="B9" s="16" t="s">
        <v>15</v>
      </c>
      <c r="C9" s="16" t="s">
        <v>33</v>
      </c>
      <c r="D9" s="11" t="s">
        <v>21</v>
      </c>
      <c r="E9" s="11" t="s">
        <v>23</v>
      </c>
      <c r="F9" s="13"/>
      <c r="G9" s="13"/>
      <c r="H9" s="10"/>
      <c r="I9" s="9"/>
      <c r="K9" s="16" t="s">
        <v>15</v>
      </c>
      <c r="L9" s="16" t="s">
        <v>33</v>
      </c>
      <c r="M9" s="58" t="s">
        <v>20</v>
      </c>
      <c r="N9" s="58"/>
      <c r="O9" s="11" t="s">
        <v>21</v>
      </c>
      <c r="P9" s="34" t="s">
        <v>22</v>
      </c>
      <c r="Q9" s="36" t="s">
        <v>23</v>
      </c>
    </row>
    <row r="10" spans="2:18" ht="21" x14ac:dyDescent="0.35">
      <c r="G10" s="9"/>
      <c r="H10" s="10"/>
      <c r="K10" s="2">
        <v>347</v>
      </c>
      <c r="L10" s="2">
        <v>123</v>
      </c>
      <c r="M10" s="59" t="s">
        <v>9</v>
      </c>
      <c r="N10" s="59"/>
      <c r="O10" s="2">
        <v>2</v>
      </c>
      <c r="P10" s="35">
        <v>8</v>
      </c>
      <c r="Q10" s="37">
        <f>O10*P10</f>
        <v>16</v>
      </c>
    </row>
    <row r="11" spans="2:18" ht="21" x14ac:dyDescent="0.35">
      <c r="K11" s="2">
        <v>347</v>
      </c>
      <c r="L11" s="2">
        <v>124</v>
      </c>
      <c r="M11" s="59" t="s">
        <v>10</v>
      </c>
      <c r="N11" s="59"/>
      <c r="O11" s="2">
        <v>1</v>
      </c>
      <c r="P11" s="35">
        <v>1.5</v>
      </c>
      <c r="Q11" s="37">
        <f t="shared" ref="Q11:Q14" si="0">O11*P11</f>
        <v>1.5</v>
      </c>
    </row>
    <row r="12" spans="2:18" ht="21" x14ac:dyDescent="0.35">
      <c r="K12" s="2">
        <v>347</v>
      </c>
      <c r="L12" s="2">
        <v>125</v>
      </c>
      <c r="M12" s="56" t="s">
        <v>11</v>
      </c>
      <c r="N12" s="56"/>
      <c r="O12" s="2">
        <v>1</v>
      </c>
      <c r="P12" s="35">
        <v>1.5</v>
      </c>
      <c r="Q12" s="37">
        <f t="shared" si="0"/>
        <v>1.5</v>
      </c>
    </row>
    <row r="13" spans="2:18" ht="21" x14ac:dyDescent="0.35">
      <c r="B13" s="17" t="s">
        <v>53</v>
      </c>
      <c r="D13" s="10"/>
      <c r="E13" s="9"/>
      <c r="F13" s="9"/>
      <c r="G13" s="9"/>
      <c r="K13" s="2">
        <v>347</v>
      </c>
      <c r="L13" s="2">
        <v>126</v>
      </c>
      <c r="M13" s="56" t="s">
        <v>13</v>
      </c>
      <c r="N13" s="56"/>
      <c r="O13" s="2">
        <v>10</v>
      </c>
      <c r="P13" s="35">
        <v>15</v>
      </c>
      <c r="Q13" s="37">
        <f t="shared" si="0"/>
        <v>150</v>
      </c>
    </row>
    <row r="14" spans="2:18" ht="21" x14ac:dyDescent="0.35">
      <c r="B14" s="61" t="s">
        <v>33</v>
      </c>
      <c r="C14" s="61"/>
      <c r="D14" s="11" t="s">
        <v>54</v>
      </c>
      <c r="E14" s="58" t="s">
        <v>55</v>
      </c>
      <c r="F14" s="58"/>
      <c r="G14" s="13"/>
      <c r="K14" s="2">
        <v>347</v>
      </c>
      <c r="L14" s="2">
        <v>127</v>
      </c>
      <c r="M14" s="56" t="s">
        <v>12</v>
      </c>
      <c r="N14" s="56"/>
      <c r="O14" s="2">
        <v>1</v>
      </c>
      <c r="P14" s="35">
        <v>12</v>
      </c>
      <c r="Q14" s="37">
        <f t="shared" si="0"/>
        <v>12</v>
      </c>
    </row>
    <row r="15" spans="2:18" ht="21" x14ac:dyDescent="0.35">
      <c r="G15" s="9"/>
    </row>
    <row r="16" spans="2:18" ht="21" customHeight="1" x14ac:dyDescent="0.25">
      <c r="K16" s="18" t="s">
        <v>57</v>
      </c>
    </row>
    <row r="17" spans="11:16" ht="22.5" customHeight="1" x14ac:dyDescent="0.35">
      <c r="K17" s="61" t="s">
        <v>33</v>
      </c>
      <c r="L17" s="61"/>
      <c r="M17" s="58" t="s">
        <v>20</v>
      </c>
      <c r="N17" s="58"/>
      <c r="O17" s="58" t="s">
        <v>22</v>
      </c>
      <c r="P17" s="58"/>
    </row>
    <row r="18" spans="11:16" ht="21" x14ac:dyDescent="0.35">
      <c r="K18" s="62">
        <v>123</v>
      </c>
      <c r="L18" s="62"/>
      <c r="M18" s="59" t="s">
        <v>9</v>
      </c>
      <c r="N18" s="59"/>
      <c r="O18" s="60">
        <v>8</v>
      </c>
      <c r="P18" s="60"/>
    </row>
    <row r="19" spans="11:16" ht="21" x14ac:dyDescent="0.35">
      <c r="K19" s="62">
        <v>124</v>
      </c>
      <c r="L19" s="62"/>
      <c r="M19" s="59" t="s">
        <v>10</v>
      </c>
      <c r="N19" s="59"/>
      <c r="O19" s="60">
        <v>1.5</v>
      </c>
      <c r="P19" s="60"/>
    </row>
    <row r="20" spans="11:16" ht="21" x14ac:dyDescent="0.35">
      <c r="K20" s="62">
        <v>125</v>
      </c>
      <c r="L20" s="62"/>
      <c r="M20" s="56" t="s">
        <v>11</v>
      </c>
      <c r="N20" s="56"/>
      <c r="O20" s="60">
        <v>1.5</v>
      </c>
      <c r="P20" s="60"/>
    </row>
    <row r="21" spans="11:16" ht="21" x14ac:dyDescent="0.35">
      <c r="K21" s="62">
        <v>126</v>
      </c>
      <c r="L21" s="62"/>
      <c r="M21" s="56" t="s">
        <v>13</v>
      </c>
      <c r="N21" s="56"/>
      <c r="O21" s="60">
        <v>15</v>
      </c>
      <c r="P21" s="60"/>
    </row>
    <row r="22" spans="11:16" ht="21" x14ac:dyDescent="0.35">
      <c r="K22" s="62">
        <v>127</v>
      </c>
      <c r="L22" s="62"/>
      <c r="M22" s="56" t="s">
        <v>12</v>
      </c>
      <c r="N22" s="56"/>
      <c r="O22" s="60">
        <v>12</v>
      </c>
      <c r="P22" s="60"/>
    </row>
  </sheetData>
  <mergeCells count="30">
    <mergeCell ref="B3:I3"/>
    <mergeCell ref="K3:R3"/>
    <mergeCell ref="M9:N9"/>
    <mergeCell ref="B14:C14"/>
    <mergeCell ref="E14:F14"/>
    <mergeCell ref="M10:N10"/>
    <mergeCell ref="M11:N11"/>
    <mergeCell ref="L5:M5"/>
    <mergeCell ref="L6:M6"/>
    <mergeCell ref="O18:P18"/>
    <mergeCell ref="O19:P19"/>
    <mergeCell ref="M12:N12"/>
    <mergeCell ref="M13:N13"/>
    <mergeCell ref="M14:N14"/>
    <mergeCell ref="O20:P20"/>
    <mergeCell ref="O21:P21"/>
    <mergeCell ref="O22:P22"/>
    <mergeCell ref="K17:L17"/>
    <mergeCell ref="K18:L18"/>
    <mergeCell ref="K19:L19"/>
    <mergeCell ref="K20:L20"/>
    <mergeCell ref="K21:L21"/>
    <mergeCell ref="K22:L22"/>
    <mergeCell ref="M17:N17"/>
    <mergeCell ref="M18:N18"/>
    <mergeCell ref="M19:N19"/>
    <mergeCell ref="M20:N20"/>
    <mergeCell ref="M21:N21"/>
    <mergeCell ref="M22:N22"/>
    <mergeCell ref="O17:P17"/>
  </mergeCells>
  <pageMargins left="0.511811024" right="0.511811024" top="0.78740157499999996" bottom="0.78740157499999996" header="0.31496062000000002" footer="0.3149606200000000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026CF-02DF-4BC0-97A0-3BAB3E47E564}">
  <dimension ref="B2:O17"/>
  <sheetViews>
    <sheetView topLeftCell="A3" workbookViewId="0"/>
  </sheetViews>
  <sheetFormatPr defaultRowHeight="15" x14ac:dyDescent="0.25"/>
  <cols>
    <col min="2" max="2" width="18.42578125" customWidth="1"/>
    <col min="3" max="3" width="7.85546875" customWidth="1"/>
    <col min="4" max="4" width="16.5703125" customWidth="1"/>
    <col min="5" max="5" width="11.7109375" bestFit="1" customWidth="1"/>
    <col min="6" max="6" width="9.85546875" customWidth="1"/>
    <col min="7" max="7" width="13.42578125" customWidth="1"/>
    <col min="8" max="8" width="15.5703125" bestFit="1" customWidth="1"/>
    <col min="9" max="9" width="17.28515625" customWidth="1"/>
    <col min="11" max="11" width="20.140625" bestFit="1" customWidth="1"/>
    <col min="12" max="12" width="23.140625" customWidth="1"/>
    <col min="13" max="13" width="18.140625" customWidth="1"/>
    <col min="14" max="14" width="16.85546875" customWidth="1"/>
    <col min="15" max="15" width="20.140625" customWidth="1"/>
  </cols>
  <sheetData>
    <row r="2" spans="2:15" x14ac:dyDescent="0.25">
      <c r="B2">
        <v>1</v>
      </c>
    </row>
    <row r="3" spans="2:15" ht="63" customHeight="1" x14ac:dyDescent="0.35">
      <c r="B3" s="57" t="s">
        <v>59</v>
      </c>
      <c r="C3" s="57"/>
      <c r="D3" s="57"/>
      <c r="E3" s="57"/>
      <c r="F3" s="57"/>
      <c r="G3" s="57"/>
      <c r="H3" s="57"/>
      <c r="I3" s="57"/>
    </row>
    <row r="4" spans="2:15" ht="21.75" customHeight="1" x14ac:dyDescent="0.35">
      <c r="B4" s="17" t="s">
        <v>45</v>
      </c>
      <c r="H4" s="1"/>
      <c r="K4" s="17" t="s">
        <v>16</v>
      </c>
    </row>
    <row r="5" spans="2:15" ht="21" x14ac:dyDescent="0.35">
      <c r="B5" s="61" t="s">
        <v>15</v>
      </c>
      <c r="C5" s="61"/>
      <c r="D5" s="58" t="s">
        <v>35</v>
      </c>
      <c r="E5" s="58"/>
      <c r="F5" s="58" t="s">
        <v>41</v>
      </c>
      <c r="G5" s="58"/>
      <c r="I5" s="13"/>
      <c r="K5" s="16" t="s">
        <v>35</v>
      </c>
      <c r="L5" s="11" t="s">
        <v>36</v>
      </c>
      <c r="M5" s="11" t="s">
        <v>38</v>
      </c>
      <c r="N5" s="11" t="s">
        <v>39</v>
      </c>
      <c r="O5" s="11" t="s">
        <v>40</v>
      </c>
    </row>
    <row r="6" spans="2:15" ht="36" customHeight="1" x14ac:dyDescent="0.35">
      <c r="B6" s="9"/>
      <c r="C6" s="9"/>
      <c r="D6" s="10"/>
      <c r="E6" s="9"/>
      <c r="F6" s="9"/>
      <c r="G6" s="9"/>
      <c r="H6" s="15"/>
      <c r="I6" s="9"/>
      <c r="K6" s="9"/>
      <c r="L6" s="10"/>
      <c r="M6" s="9"/>
      <c r="N6" s="9"/>
      <c r="O6" s="9"/>
    </row>
    <row r="7" spans="2:15" ht="21" x14ac:dyDescent="0.35">
      <c r="B7" s="9"/>
      <c r="C7" s="9"/>
      <c r="D7" s="10"/>
      <c r="E7" s="9"/>
      <c r="F7" s="9"/>
      <c r="G7" s="9"/>
      <c r="H7" s="10"/>
      <c r="I7" s="9"/>
    </row>
    <row r="8" spans="2:15" ht="27" customHeight="1" x14ac:dyDescent="0.35">
      <c r="B8" s="17" t="s">
        <v>46</v>
      </c>
      <c r="D8" s="10"/>
      <c r="E8" s="9"/>
      <c r="F8" s="9"/>
      <c r="G8" s="9"/>
      <c r="H8" s="10"/>
      <c r="I8" s="9"/>
      <c r="K8" s="17" t="s">
        <v>24</v>
      </c>
    </row>
    <row r="9" spans="2:15" ht="21" x14ac:dyDescent="0.35">
      <c r="B9" s="16" t="s">
        <v>15</v>
      </c>
      <c r="C9" s="61" t="s">
        <v>33</v>
      </c>
      <c r="D9" s="61"/>
      <c r="E9" s="11" t="s">
        <v>21</v>
      </c>
      <c r="F9" s="58" t="s">
        <v>23</v>
      </c>
      <c r="G9" s="58"/>
      <c r="H9" s="10"/>
      <c r="I9" s="9"/>
      <c r="K9" s="21" t="s">
        <v>41</v>
      </c>
      <c r="L9" s="20" t="s">
        <v>42</v>
      </c>
    </row>
    <row r="10" spans="2:15" ht="21" x14ac:dyDescent="0.35">
      <c r="G10" s="9"/>
      <c r="H10" s="10"/>
      <c r="K10" s="9"/>
      <c r="L10" s="10"/>
    </row>
    <row r="13" spans="2:15" ht="21" x14ac:dyDescent="0.35">
      <c r="B13" s="17" t="s">
        <v>53</v>
      </c>
      <c r="D13" s="10"/>
      <c r="E13" s="9"/>
      <c r="F13" s="9"/>
      <c r="G13" s="9"/>
    </row>
    <row r="14" spans="2:15" ht="21" x14ac:dyDescent="0.35">
      <c r="B14" s="61" t="s">
        <v>33</v>
      </c>
      <c r="C14" s="61"/>
      <c r="D14" s="11" t="s">
        <v>54</v>
      </c>
      <c r="E14" s="58" t="s">
        <v>55</v>
      </c>
      <c r="F14" s="58"/>
      <c r="G14" s="13"/>
    </row>
    <row r="15" spans="2:15" ht="21" x14ac:dyDescent="0.35">
      <c r="G15" s="9"/>
    </row>
    <row r="16" spans="2:15" ht="21" customHeight="1" x14ac:dyDescent="0.25"/>
    <row r="17" ht="22.5" customHeight="1" x14ac:dyDescent="0.25"/>
  </sheetData>
  <mergeCells count="8">
    <mergeCell ref="B14:C14"/>
    <mergeCell ref="E14:F14"/>
    <mergeCell ref="B3:I3"/>
    <mergeCell ref="B5:C5"/>
    <mergeCell ref="D5:E5"/>
    <mergeCell ref="F5:G5"/>
    <mergeCell ref="C9:D9"/>
    <mergeCell ref="F9:G9"/>
  </mergeCells>
  <pageMargins left="0.511811024" right="0.511811024" top="0.78740157499999996" bottom="0.78740157499999996" header="0.31496062000000002" footer="0.3149606200000000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062D4-B406-49CE-9DB4-5E577F2A6A7C}">
  <dimension ref="B3:U13"/>
  <sheetViews>
    <sheetView workbookViewId="0">
      <selection activeCell="J8" sqref="J8:K8"/>
    </sheetView>
  </sheetViews>
  <sheetFormatPr defaultRowHeight="15" x14ac:dyDescent="0.25"/>
  <cols>
    <col min="1" max="1" width="7.5703125" customWidth="1"/>
    <col min="2" max="2" width="11" customWidth="1"/>
    <col min="4" max="4" width="16.5703125" customWidth="1"/>
    <col min="5" max="5" width="9.42578125" customWidth="1"/>
    <col min="12" max="12" width="34" customWidth="1"/>
    <col min="13" max="13" width="7.28515625" customWidth="1"/>
    <col min="14" max="14" width="6" customWidth="1"/>
    <col min="15" max="15" width="12.28515625" customWidth="1"/>
    <col min="17" max="17" width="16.7109375" bestFit="1" customWidth="1"/>
    <col min="18" max="18" width="18.28515625" bestFit="1" customWidth="1"/>
    <col min="19" max="19" width="32" customWidth="1"/>
    <col min="20" max="20" width="12.5703125" bestFit="1" customWidth="1"/>
    <col min="21" max="21" width="11.7109375" bestFit="1" customWidth="1"/>
  </cols>
  <sheetData>
    <row r="3" spans="2:21" ht="15.75" x14ac:dyDescent="0.25">
      <c r="B3" s="26" t="s">
        <v>64</v>
      </c>
      <c r="C3" s="8"/>
      <c r="D3" s="8"/>
      <c r="E3" s="8"/>
      <c r="F3" s="8"/>
      <c r="G3" s="8"/>
      <c r="H3" s="8"/>
      <c r="I3" s="8"/>
      <c r="J3" s="8"/>
      <c r="K3" s="8"/>
      <c r="L3" s="8"/>
      <c r="M3" s="8"/>
      <c r="N3" s="8"/>
      <c r="O3" s="8"/>
      <c r="P3" s="8"/>
      <c r="Q3" s="26" t="s">
        <v>62</v>
      </c>
      <c r="R3" s="8"/>
      <c r="S3" s="8"/>
      <c r="T3" s="8"/>
      <c r="U3" s="8"/>
    </row>
    <row r="4" spans="2:21" ht="15.75" x14ac:dyDescent="0.25">
      <c r="B4" s="72" t="s">
        <v>15</v>
      </c>
      <c r="C4" s="72"/>
      <c r="D4" s="69" t="s">
        <v>35</v>
      </c>
      <c r="E4" s="69"/>
      <c r="F4" s="69" t="s">
        <v>41</v>
      </c>
      <c r="G4" s="69"/>
      <c r="H4" s="8"/>
      <c r="I4" s="8"/>
      <c r="J4" s="8"/>
      <c r="K4" s="8"/>
      <c r="L4" s="8"/>
      <c r="M4" s="8"/>
      <c r="N4" s="8"/>
      <c r="O4" s="8"/>
      <c r="P4" s="8"/>
      <c r="Q4" s="27" t="s">
        <v>35</v>
      </c>
      <c r="R4" s="28" t="s">
        <v>36</v>
      </c>
      <c r="S4" s="28" t="s">
        <v>38</v>
      </c>
      <c r="T4" s="28" t="s">
        <v>39</v>
      </c>
      <c r="U4" s="28" t="s">
        <v>40</v>
      </c>
    </row>
    <row r="5" spans="2:21" ht="17.25" customHeight="1" x14ac:dyDescent="0.25">
      <c r="B5" s="66">
        <v>347</v>
      </c>
      <c r="C5" s="66"/>
      <c r="D5" s="66">
        <v>341</v>
      </c>
      <c r="E5" s="66"/>
      <c r="F5" s="74" t="s">
        <v>60</v>
      </c>
      <c r="G5" s="66"/>
      <c r="H5" s="8"/>
      <c r="I5" s="8"/>
      <c r="J5" s="8"/>
      <c r="K5" s="8"/>
      <c r="L5" s="8"/>
      <c r="M5" s="8"/>
      <c r="N5" s="8"/>
      <c r="O5" s="8"/>
      <c r="P5" s="8"/>
      <c r="Q5" s="22">
        <v>341</v>
      </c>
      <c r="R5" s="24" t="s">
        <v>48</v>
      </c>
      <c r="S5" s="25" t="s">
        <v>26</v>
      </c>
      <c r="T5" s="25" t="s">
        <v>49</v>
      </c>
      <c r="U5" s="24" t="s">
        <v>28</v>
      </c>
    </row>
    <row r="6" spans="2:21" ht="15.75" x14ac:dyDescent="0.25">
      <c r="B6" s="8"/>
      <c r="C6" s="8"/>
      <c r="D6" s="8"/>
      <c r="E6" s="8"/>
      <c r="F6" s="8"/>
      <c r="G6" s="8"/>
      <c r="H6" s="8"/>
      <c r="I6" s="8"/>
      <c r="J6" s="8"/>
      <c r="K6" s="8"/>
      <c r="L6" s="8"/>
      <c r="M6" s="8"/>
      <c r="N6" s="8"/>
      <c r="O6" s="8"/>
      <c r="P6" s="8"/>
      <c r="Q6" s="8"/>
      <c r="R6" s="8"/>
      <c r="S6" s="8"/>
      <c r="T6" s="8"/>
      <c r="U6" s="8"/>
    </row>
    <row r="7" spans="2:21" ht="15.75" x14ac:dyDescent="0.25">
      <c r="B7" s="26" t="s">
        <v>58</v>
      </c>
      <c r="C7" s="8"/>
      <c r="D7" s="29"/>
      <c r="E7" s="8"/>
      <c r="F7" s="8"/>
      <c r="G7" s="8"/>
      <c r="H7" s="8"/>
      <c r="I7" s="8"/>
      <c r="J7" s="26" t="s">
        <v>57</v>
      </c>
      <c r="K7" s="8"/>
      <c r="L7" s="8"/>
      <c r="M7" s="8"/>
      <c r="N7" s="8"/>
      <c r="O7" s="8"/>
      <c r="P7" s="8"/>
      <c r="Q7" s="65"/>
      <c r="R7" s="65"/>
      <c r="S7" s="29"/>
      <c r="T7" s="29"/>
      <c r="U7" s="8"/>
    </row>
    <row r="8" spans="2:21" ht="21" customHeight="1" x14ac:dyDescent="0.25">
      <c r="B8" s="72" t="s">
        <v>15</v>
      </c>
      <c r="C8" s="72"/>
      <c r="D8" s="31" t="s">
        <v>33</v>
      </c>
      <c r="E8" s="32" t="s">
        <v>21</v>
      </c>
      <c r="F8" s="73" t="s">
        <v>23</v>
      </c>
      <c r="G8" s="73"/>
      <c r="H8" s="8"/>
      <c r="I8" s="8"/>
      <c r="J8" s="72" t="s">
        <v>33</v>
      </c>
      <c r="K8" s="72"/>
      <c r="L8" s="69" t="s">
        <v>20</v>
      </c>
      <c r="M8" s="69"/>
      <c r="N8" s="69" t="s">
        <v>22</v>
      </c>
      <c r="O8" s="69"/>
      <c r="P8" s="30"/>
      <c r="Q8" s="26" t="s">
        <v>63</v>
      </c>
      <c r="R8" s="8"/>
      <c r="S8" s="8"/>
      <c r="T8" s="8"/>
      <c r="U8" s="8"/>
    </row>
    <row r="9" spans="2:21" ht="15.75" x14ac:dyDescent="0.25">
      <c r="B9" s="66">
        <v>347</v>
      </c>
      <c r="C9" s="66"/>
      <c r="D9" s="24">
        <v>123</v>
      </c>
      <c r="E9" s="24">
        <v>2</v>
      </c>
      <c r="F9" s="71">
        <v>16</v>
      </c>
      <c r="G9" s="71"/>
      <c r="H9" s="8"/>
      <c r="I9" s="8"/>
      <c r="J9" s="66">
        <v>123</v>
      </c>
      <c r="K9" s="66"/>
      <c r="L9" s="70" t="s">
        <v>9</v>
      </c>
      <c r="M9" s="70"/>
      <c r="N9" s="68">
        <v>8</v>
      </c>
      <c r="O9" s="68"/>
      <c r="P9" s="33"/>
      <c r="Q9" s="27" t="s">
        <v>41</v>
      </c>
      <c r="R9" s="28" t="s">
        <v>42</v>
      </c>
      <c r="S9" s="8"/>
      <c r="T9" s="8"/>
      <c r="U9" s="8"/>
    </row>
    <row r="10" spans="2:21" ht="15.75" x14ac:dyDescent="0.25">
      <c r="B10" s="66">
        <v>347</v>
      </c>
      <c r="C10" s="66"/>
      <c r="D10" s="24">
        <v>124</v>
      </c>
      <c r="E10" s="24">
        <v>1</v>
      </c>
      <c r="F10" s="71">
        <v>1.5</v>
      </c>
      <c r="G10" s="71"/>
      <c r="H10" s="8"/>
      <c r="I10" s="8"/>
      <c r="J10" s="66">
        <v>124</v>
      </c>
      <c r="K10" s="66"/>
      <c r="L10" s="70" t="s">
        <v>10</v>
      </c>
      <c r="M10" s="70"/>
      <c r="N10" s="68">
        <v>1.5</v>
      </c>
      <c r="O10" s="68"/>
      <c r="P10" s="33"/>
      <c r="Q10" s="23" t="s">
        <v>60</v>
      </c>
      <c r="R10" s="24" t="s">
        <v>61</v>
      </c>
      <c r="S10" s="8"/>
      <c r="T10" s="8"/>
      <c r="U10" s="8"/>
    </row>
    <row r="11" spans="2:21" ht="15.75" x14ac:dyDescent="0.25">
      <c r="B11" s="66">
        <v>347</v>
      </c>
      <c r="C11" s="66"/>
      <c r="D11" s="24">
        <v>125</v>
      </c>
      <c r="E11" s="24">
        <v>1</v>
      </c>
      <c r="F11" s="71">
        <v>1.5</v>
      </c>
      <c r="G11" s="71"/>
      <c r="H11" s="8"/>
      <c r="I11" s="8"/>
      <c r="J11" s="66">
        <v>125</v>
      </c>
      <c r="K11" s="66"/>
      <c r="L11" s="67" t="s">
        <v>11</v>
      </c>
      <c r="M11" s="67"/>
      <c r="N11" s="68">
        <v>1.5</v>
      </c>
      <c r="O11" s="68"/>
      <c r="P11" s="33"/>
      <c r="Q11" s="8"/>
      <c r="R11" s="8"/>
      <c r="S11" s="8"/>
      <c r="T11" s="8"/>
      <c r="U11" s="8"/>
    </row>
    <row r="12" spans="2:21" ht="15.75" x14ac:dyDescent="0.25">
      <c r="B12" s="66">
        <v>347</v>
      </c>
      <c r="C12" s="66"/>
      <c r="D12" s="24">
        <v>126</v>
      </c>
      <c r="E12" s="24">
        <v>10</v>
      </c>
      <c r="F12" s="71">
        <v>150</v>
      </c>
      <c r="G12" s="71"/>
      <c r="H12" s="8"/>
      <c r="I12" s="8"/>
      <c r="J12" s="66">
        <v>126</v>
      </c>
      <c r="K12" s="66"/>
      <c r="L12" s="67" t="s">
        <v>13</v>
      </c>
      <c r="M12" s="67"/>
      <c r="N12" s="68">
        <v>15</v>
      </c>
      <c r="O12" s="68"/>
      <c r="P12" s="33"/>
      <c r="Q12" s="8"/>
      <c r="R12" s="8"/>
      <c r="S12" s="8"/>
      <c r="T12" s="8"/>
      <c r="U12" s="8"/>
    </row>
    <row r="13" spans="2:21" ht="15.75" x14ac:dyDescent="0.25">
      <c r="B13" s="66">
        <v>347</v>
      </c>
      <c r="C13" s="66"/>
      <c r="D13" s="24">
        <v>127</v>
      </c>
      <c r="E13" s="24">
        <v>1</v>
      </c>
      <c r="F13" s="71">
        <v>12</v>
      </c>
      <c r="G13" s="71"/>
      <c r="H13" s="8"/>
      <c r="I13" s="8"/>
      <c r="J13" s="66">
        <v>127</v>
      </c>
      <c r="K13" s="66"/>
      <c r="L13" s="67" t="s">
        <v>12</v>
      </c>
      <c r="M13" s="67"/>
      <c r="N13" s="68">
        <v>12</v>
      </c>
      <c r="O13" s="68"/>
      <c r="P13" s="33"/>
      <c r="Q13" s="8"/>
      <c r="R13" s="8"/>
      <c r="S13" s="8"/>
      <c r="T13" s="8"/>
      <c r="U13" s="8"/>
    </row>
  </sheetData>
  <mergeCells count="37">
    <mergeCell ref="L13:M13"/>
    <mergeCell ref="N13:O13"/>
    <mergeCell ref="F9:G9"/>
    <mergeCell ref="B4:C4"/>
    <mergeCell ref="D4:E4"/>
    <mergeCell ref="F4:G4"/>
    <mergeCell ref="F8:G8"/>
    <mergeCell ref="J8:K8"/>
    <mergeCell ref="B8:C8"/>
    <mergeCell ref="B5:C5"/>
    <mergeCell ref="D5:E5"/>
    <mergeCell ref="F5:G5"/>
    <mergeCell ref="F10:G10"/>
    <mergeCell ref="F11:G11"/>
    <mergeCell ref="F12:G12"/>
    <mergeCell ref="F13:G13"/>
    <mergeCell ref="J13:K13"/>
    <mergeCell ref="B13:C13"/>
    <mergeCell ref="B9:C9"/>
    <mergeCell ref="B10:C10"/>
    <mergeCell ref="B11:C11"/>
    <mergeCell ref="B12:C12"/>
    <mergeCell ref="Q7:R7"/>
    <mergeCell ref="J11:K11"/>
    <mergeCell ref="L11:M11"/>
    <mergeCell ref="N11:O11"/>
    <mergeCell ref="J12:K12"/>
    <mergeCell ref="L12:M12"/>
    <mergeCell ref="N12:O12"/>
    <mergeCell ref="L8:M8"/>
    <mergeCell ref="N8:O8"/>
    <mergeCell ref="J9:K9"/>
    <mergeCell ref="L9:M9"/>
    <mergeCell ref="N9:O9"/>
    <mergeCell ref="J10:K10"/>
    <mergeCell ref="L10:M10"/>
    <mergeCell ref="N10:O10"/>
  </mergeCell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21C0C-D002-4521-B9FB-9B8ACC6C3EDB}">
  <dimension ref="B3:M14"/>
  <sheetViews>
    <sheetView workbookViewId="0">
      <selection activeCell="B4" sqref="B4:D8"/>
    </sheetView>
  </sheetViews>
  <sheetFormatPr defaultRowHeight="15" x14ac:dyDescent="0.25"/>
  <cols>
    <col min="2" max="2" width="15.7109375" bestFit="1" customWidth="1"/>
    <col min="3" max="3" width="16.42578125" customWidth="1"/>
    <col min="4" max="4" width="19.7109375" customWidth="1"/>
    <col min="9" max="9" width="21.7109375" customWidth="1"/>
    <col min="10" max="10" width="21.28515625" customWidth="1"/>
    <col min="11" max="11" width="5.140625" customWidth="1"/>
    <col min="12" max="12" width="23" customWidth="1"/>
    <col min="13" max="13" width="24.5703125" customWidth="1"/>
  </cols>
  <sheetData>
    <row r="3" spans="2:13" ht="16.5" customHeight="1" x14ac:dyDescent="0.35">
      <c r="B3" s="17"/>
      <c r="C3" s="10"/>
      <c r="D3" s="9"/>
      <c r="E3" s="8"/>
      <c r="I3" s="17" t="s">
        <v>73</v>
      </c>
      <c r="L3" s="17" t="s">
        <v>74</v>
      </c>
    </row>
    <row r="4" spans="2:13" ht="45.75" customHeight="1" x14ac:dyDescent="0.35">
      <c r="B4" s="42" t="s">
        <v>72</v>
      </c>
      <c r="C4" s="43" t="s">
        <v>65</v>
      </c>
      <c r="D4" s="42" t="s">
        <v>66</v>
      </c>
      <c r="E4" s="30"/>
      <c r="I4" s="42" t="s">
        <v>72</v>
      </c>
      <c r="J4" s="43" t="s">
        <v>65</v>
      </c>
      <c r="L4" s="42" t="s">
        <v>72</v>
      </c>
      <c r="M4" s="42" t="s">
        <v>66</v>
      </c>
    </row>
    <row r="5" spans="2:13" ht="21" x14ac:dyDescent="0.35">
      <c r="B5" s="40" t="s">
        <v>67</v>
      </c>
      <c r="C5" s="3">
        <v>123</v>
      </c>
      <c r="D5" s="41" t="s">
        <v>68</v>
      </c>
      <c r="E5" s="38"/>
      <c r="I5" s="40" t="s">
        <v>67</v>
      </c>
      <c r="J5" s="3">
        <v>123</v>
      </c>
      <c r="L5" s="40" t="s">
        <v>67</v>
      </c>
      <c r="M5" s="41" t="s">
        <v>68</v>
      </c>
    </row>
    <row r="6" spans="2:13" ht="21" x14ac:dyDescent="0.35">
      <c r="B6" s="40" t="s">
        <v>60</v>
      </c>
      <c r="C6" s="3">
        <v>124</v>
      </c>
      <c r="D6" s="41" t="s">
        <v>68</v>
      </c>
      <c r="E6" s="38"/>
      <c r="I6" s="40" t="s">
        <v>60</v>
      </c>
      <c r="J6" s="3">
        <v>124</v>
      </c>
      <c r="L6" s="40" t="s">
        <v>60</v>
      </c>
      <c r="M6" s="41" t="s">
        <v>68</v>
      </c>
    </row>
    <row r="7" spans="2:13" ht="21" x14ac:dyDescent="0.35">
      <c r="B7" s="40" t="s">
        <v>60</v>
      </c>
      <c r="C7" s="3">
        <v>124</v>
      </c>
      <c r="D7" s="41" t="s">
        <v>69</v>
      </c>
      <c r="E7" s="38"/>
      <c r="I7" s="40" t="s">
        <v>60</v>
      </c>
      <c r="J7" s="3">
        <v>124</v>
      </c>
      <c r="L7" s="40" t="s">
        <v>60</v>
      </c>
      <c r="M7" s="41" t="s">
        <v>69</v>
      </c>
    </row>
    <row r="8" spans="2:13" ht="21" x14ac:dyDescent="0.35">
      <c r="B8" s="40" t="s">
        <v>67</v>
      </c>
      <c r="C8" s="3">
        <v>126</v>
      </c>
      <c r="D8" s="41" t="s">
        <v>70</v>
      </c>
      <c r="E8" s="38"/>
      <c r="I8" s="40" t="s">
        <v>67</v>
      </c>
      <c r="J8" s="3">
        <v>126</v>
      </c>
      <c r="L8" s="40" t="s">
        <v>67</v>
      </c>
      <c r="M8" s="41" t="s">
        <v>70</v>
      </c>
    </row>
    <row r="9" spans="2:13" ht="21" x14ac:dyDescent="0.35">
      <c r="B9" s="9"/>
      <c r="C9" s="9"/>
      <c r="D9" s="9"/>
    </row>
    <row r="10" spans="2:13" ht="120" customHeight="1" x14ac:dyDescent="0.25">
      <c r="B10" s="75" t="s">
        <v>71</v>
      </c>
      <c r="C10" s="75"/>
      <c r="D10" s="75"/>
      <c r="E10" s="75"/>
      <c r="F10" s="75"/>
      <c r="G10" s="75"/>
    </row>
    <row r="11" spans="2:13" ht="15.75" x14ac:dyDescent="0.25">
      <c r="C11" s="39"/>
    </row>
    <row r="12" spans="2:13" ht="15.75" x14ac:dyDescent="0.25">
      <c r="C12" s="39"/>
    </row>
    <row r="13" spans="2:13" ht="15.75" x14ac:dyDescent="0.25">
      <c r="C13" s="39"/>
    </row>
    <row r="14" spans="2:13" ht="15.75" x14ac:dyDescent="0.25">
      <c r="C14" s="39"/>
    </row>
  </sheetData>
  <mergeCells count="1">
    <mergeCell ref="B10:G10"/>
  </mergeCell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1653E-1509-42DE-8DF8-825487D31B04}">
  <dimension ref="B3:E51"/>
  <sheetViews>
    <sheetView topLeftCell="A45" workbookViewId="0">
      <selection activeCell="G49" sqref="G49"/>
    </sheetView>
  </sheetViews>
  <sheetFormatPr defaultRowHeight="15" x14ac:dyDescent="0.25"/>
  <cols>
    <col min="2" max="2" width="27.5703125" customWidth="1"/>
    <col min="3" max="3" width="28.140625" customWidth="1"/>
    <col min="4" max="4" width="28" customWidth="1"/>
  </cols>
  <sheetData>
    <row r="3" spans="2:5" ht="24" customHeight="1" x14ac:dyDescent="0.35">
      <c r="B3" s="42" t="s">
        <v>53</v>
      </c>
      <c r="C3" s="42" t="s">
        <v>75</v>
      </c>
      <c r="D3" s="42" t="s">
        <v>76</v>
      </c>
    </row>
    <row r="4" spans="2:5" ht="21" x14ac:dyDescent="0.35">
      <c r="B4" s="46" t="s">
        <v>77</v>
      </c>
      <c r="C4" s="3">
        <v>7801</v>
      </c>
      <c r="D4" s="44" t="s">
        <v>68</v>
      </c>
    </row>
    <row r="5" spans="2:5" ht="21" x14ac:dyDescent="0.35">
      <c r="B5" s="46" t="s">
        <v>77</v>
      </c>
      <c r="C5" s="3">
        <v>7801</v>
      </c>
      <c r="D5" s="45" t="s">
        <v>79</v>
      </c>
    </row>
    <row r="6" spans="2:5" ht="21" x14ac:dyDescent="0.35">
      <c r="B6" s="46" t="s">
        <v>78</v>
      </c>
      <c r="C6" s="3">
        <v>7801</v>
      </c>
      <c r="D6" s="45" t="s">
        <v>79</v>
      </c>
    </row>
    <row r="7" spans="2:5" ht="21" x14ac:dyDescent="0.35">
      <c r="B7" s="46" t="s">
        <v>77</v>
      </c>
      <c r="C7" s="3">
        <v>7802</v>
      </c>
      <c r="D7" s="45" t="s">
        <v>79</v>
      </c>
    </row>
    <row r="10" spans="2:5" ht="37.5" customHeight="1" x14ac:dyDescent="0.35">
      <c r="B10" s="76" t="s">
        <v>80</v>
      </c>
      <c r="C10" s="76"/>
      <c r="D10" s="76"/>
      <c r="E10" s="76"/>
    </row>
    <row r="12" spans="2:5" ht="21" x14ac:dyDescent="0.35">
      <c r="B12" s="42" t="s">
        <v>53</v>
      </c>
      <c r="C12" s="42" t="s">
        <v>75</v>
      </c>
    </row>
    <row r="13" spans="2:5" ht="21" x14ac:dyDescent="0.35">
      <c r="B13" s="46" t="s">
        <v>77</v>
      </c>
      <c r="C13" s="3">
        <v>7801</v>
      </c>
    </row>
    <row r="14" spans="2:5" ht="21" x14ac:dyDescent="0.35">
      <c r="B14" s="46" t="s">
        <v>77</v>
      </c>
      <c r="C14" s="3">
        <v>7802</v>
      </c>
    </row>
    <row r="15" spans="2:5" ht="21" x14ac:dyDescent="0.35">
      <c r="B15" s="46" t="s">
        <v>78</v>
      </c>
      <c r="C15" s="3">
        <v>7801</v>
      </c>
    </row>
    <row r="16" spans="2:5" ht="21" x14ac:dyDescent="0.35">
      <c r="B16" s="47"/>
      <c r="C16" s="48"/>
    </row>
    <row r="18" spans="2:5" ht="21" x14ac:dyDescent="0.35">
      <c r="C18" s="42" t="s">
        <v>75</v>
      </c>
      <c r="D18" s="42" t="s">
        <v>76</v>
      </c>
    </row>
    <row r="19" spans="2:5" ht="21" x14ac:dyDescent="0.35">
      <c r="C19" s="3">
        <v>7801</v>
      </c>
      <c r="D19" s="44" t="s">
        <v>68</v>
      </c>
    </row>
    <row r="20" spans="2:5" ht="21" x14ac:dyDescent="0.35">
      <c r="C20" s="3">
        <v>7801</v>
      </c>
      <c r="D20" s="45" t="s">
        <v>79</v>
      </c>
    </row>
    <row r="21" spans="2:5" ht="21" x14ac:dyDescent="0.35">
      <c r="C21" s="3">
        <v>7802</v>
      </c>
      <c r="D21" s="45" t="s">
        <v>79</v>
      </c>
    </row>
    <row r="24" spans="2:5" ht="21" x14ac:dyDescent="0.35">
      <c r="B24" s="42" t="s">
        <v>53</v>
      </c>
      <c r="C24" s="42" t="s">
        <v>76</v>
      </c>
    </row>
    <row r="25" spans="2:5" ht="21" x14ac:dyDescent="0.35">
      <c r="B25" s="46" t="s">
        <v>77</v>
      </c>
      <c r="C25" s="44" t="s">
        <v>68</v>
      </c>
    </row>
    <row r="26" spans="2:5" ht="21" x14ac:dyDescent="0.35">
      <c r="B26" s="46" t="s">
        <v>77</v>
      </c>
      <c r="C26" s="45" t="s">
        <v>79</v>
      </c>
    </row>
    <row r="27" spans="2:5" ht="21" x14ac:dyDescent="0.35">
      <c r="B27" s="46" t="s">
        <v>78</v>
      </c>
      <c r="C27" s="45" t="s">
        <v>79</v>
      </c>
    </row>
    <row r="30" spans="2:5" ht="66.75" customHeight="1" x14ac:dyDescent="0.35">
      <c r="B30" s="77" t="s">
        <v>81</v>
      </c>
      <c r="C30" s="77"/>
      <c r="D30" s="77"/>
      <c r="E30" s="77"/>
    </row>
    <row r="32" spans="2:5" ht="21" x14ac:dyDescent="0.35">
      <c r="B32" s="42" t="s">
        <v>75</v>
      </c>
      <c r="C32" s="42" t="s">
        <v>53</v>
      </c>
      <c r="D32" s="42" t="s">
        <v>76</v>
      </c>
    </row>
    <row r="33" spans="2:5" ht="21" x14ac:dyDescent="0.35">
      <c r="B33" s="3">
        <v>7801</v>
      </c>
      <c r="C33" s="46" t="s">
        <v>77</v>
      </c>
      <c r="D33" s="44" t="s">
        <v>68</v>
      </c>
    </row>
    <row r="34" spans="2:5" ht="21" x14ac:dyDescent="0.35">
      <c r="B34" s="3">
        <v>7801</v>
      </c>
      <c r="C34" s="46" t="s">
        <v>77</v>
      </c>
      <c r="D34" s="45" t="s">
        <v>79</v>
      </c>
    </row>
    <row r="35" spans="2:5" ht="21" x14ac:dyDescent="0.35">
      <c r="B35" s="3">
        <v>7801</v>
      </c>
      <c r="C35" s="46" t="s">
        <v>78</v>
      </c>
      <c r="D35" s="45" t="s">
        <v>79</v>
      </c>
    </row>
    <row r="36" spans="2:5" ht="21" x14ac:dyDescent="0.35">
      <c r="B36" s="49">
        <v>7801</v>
      </c>
      <c r="C36" s="50" t="s">
        <v>78</v>
      </c>
      <c r="D36" s="51">
        <v>341</v>
      </c>
    </row>
    <row r="37" spans="2:5" ht="21" x14ac:dyDescent="0.35">
      <c r="B37" s="3">
        <v>7802</v>
      </c>
      <c r="C37" s="46" t="s">
        <v>77</v>
      </c>
      <c r="D37" s="45" t="s">
        <v>79</v>
      </c>
    </row>
    <row r="40" spans="2:5" ht="69" customHeight="1" x14ac:dyDescent="0.35">
      <c r="B40" s="77" t="s">
        <v>82</v>
      </c>
      <c r="C40" s="77"/>
      <c r="D40" s="77"/>
      <c r="E40" s="77"/>
    </row>
    <row r="43" spans="2:5" ht="21" x14ac:dyDescent="0.35">
      <c r="B43" s="42" t="s">
        <v>76</v>
      </c>
      <c r="C43" s="42" t="s">
        <v>53</v>
      </c>
      <c r="D43" s="42" t="s">
        <v>75</v>
      </c>
    </row>
    <row r="44" spans="2:5" ht="21" x14ac:dyDescent="0.35">
      <c r="B44" s="44">
        <v>108</v>
      </c>
      <c r="C44" s="46" t="s">
        <v>77</v>
      </c>
      <c r="D44" s="3">
        <v>7801</v>
      </c>
    </row>
    <row r="45" spans="2:5" ht="21" x14ac:dyDescent="0.35">
      <c r="B45" s="45" t="s">
        <v>79</v>
      </c>
      <c r="C45" s="46" t="s">
        <v>78</v>
      </c>
      <c r="D45" s="3">
        <v>7801</v>
      </c>
    </row>
    <row r="46" spans="2:5" ht="21" x14ac:dyDescent="0.35">
      <c r="B46" s="45" t="s">
        <v>79</v>
      </c>
      <c r="C46" s="46" t="s">
        <v>77</v>
      </c>
      <c r="D46" s="3">
        <v>7802</v>
      </c>
    </row>
    <row r="47" spans="2:5" ht="21" x14ac:dyDescent="0.35">
      <c r="B47" s="45">
        <v>341</v>
      </c>
      <c r="C47" s="46" t="s">
        <v>77</v>
      </c>
      <c r="D47" s="3">
        <v>7801</v>
      </c>
    </row>
    <row r="48" spans="2:5" ht="21" x14ac:dyDescent="0.35">
      <c r="B48" s="51">
        <v>341</v>
      </c>
      <c r="C48" s="50" t="s">
        <v>78</v>
      </c>
      <c r="D48" s="49">
        <v>7801</v>
      </c>
    </row>
    <row r="51" spans="2:5" ht="138.75" customHeight="1" x14ac:dyDescent="0.35">
      <c r="B51" s="77" t="s">
        <v>83</v>
      </c>
      <c r="C51" s="77"/>
      <c r="D51" s="77"/>
      <c r="E51" s="77"/>
    </row>
  </sheetData>
  <mergeCells count="4">
    <mergeCell ref="B10:E10"/>
    <mergeCell ref="B30:E30"/>
    <mergeCell ref="B40:E40"/>
    <mergeCell ref="B51:E51"/>
  </mergeCells>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BC54E44137E1C4F89E11820D93B8682" ma:contentTypeVersion="3" ma:contentTypeDescription="Crie um novo documento." ma:contentTypeScope="" ma:versionID="f3b839dba58e7ae7a503bd10ebfcc17a">
  <xsd:schema xmlns:xsd="http://www.w3.org/2001/XMLSchema" xmlns:xs="http://www.w3.org/2001/XMLSchema" xmlns:p="http://schemas.microsoft.com/office/2006/metadata/properties" xmlns:ns2="8805dcce-d34e-4555-ab11-60791a417573" targetNamespace="http://schemas.microsoft.com/office/2006/metadata/properties" ma:root="true" ma:fieldsID="b91f7c227e17ae147f75d87139373808" ns2:_="">
    <xsd:import namespace="8805dcce-d34e-4555-ab11-60791a41757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05dcce-d34e-4555-ab11-60791a4175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0398ACD-9826-45BA-A597-A3770EAEEAEF}"/>
</file>

<file path=customXml/itemProps2.xml><?xml version="1.0" encoding="utf-8"?>
<ds:datastoreItem xmlns:ds="http://schemas.openxmlformats.org/officeDocument/2006/customXml" ds:itemID="{BF0392E9-46C5-4D20-AC0B-7E32E65004E0}"/>
</file>

<file path=customXml/itemProps3.xml><?xml version="1.0" encoding="utf-8"?>
<ds:datastoreItem xmlns:ds="http://schemas.openxmlformats.org/officeDocument/2006/customXml" ds:itemID="{530B9739-AB68-48A4-BE58-14DAE9B046E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8</vt:i4>
      </vt:variant>
    </vt:vector>
  </HeadingPairs>
  <TitlesOfParts>
    <vt:vector size="8" baseType="lpstr">
      <vt:lpstr>Pedido Impresso-Aula05</vt:lpstr>
      <vt:lpstr>Pedido-Estrut</vt:lpstr>
      <vt:lpstr>Pedido-Estrut-1FN</vt:lpstr>
      <vt:lpstr>Pedido-Estrut-2FN</vt:lpstr>
      <vt:lpstr>Pedido-Estrut-3FN</vt:lpstr>
      <vt:lpstr>TabsPop3FN</vt:lpstr>
      <vt:lpstr>4FN</vt:lpstr>
      <vt:lpstr>5FN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Francisco Martins</dc:creator>
  <cp:lastModifiedBy>Francisco Martins</cp:lastModifiedBy>
  <dcterms:created xsi:type="dcterms:W3CDTF">2025-03-05T20:17:02Z</dcterms:created>
  <dcterms:modified xsi:type="dcterms:W3CDTF">2026-03-05T22:16:40Z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0x0101001BC54E44137E1C4F89E11820D93B8682</vt:lpwstr>
  </property>
</Properties>
</file>