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co\OneDrive\Área de Trabalho\MAYCON\"/>
    </mc:Choice>
  </mc:AlternateContent>
  <xr:revisionPtr revIDLastSave="0" documentId="13_ncr:1_{5964695A-3DCA-4634-8915-0468EA714D8A}" xr6:coauthVersionLast="47" xr6:coauthVersionMax="47" xr10:uidLastSave="{00000000-0000-0000-0000-000000000000}"/>
  <bookViews>
    <workbookView xWindow="-120" yWindow="-120" windowWidth="20730" windowHeight="11760" activeTab="3" xr2:uid="{7A02BE3A-D5AC-48E6-A443-CF68B0D56B4F}"/>
  </bookViews>
  <sheets>
    <sheet name="VENDAS" sheetId="1" r:id="rId1"/>
    <sheet name="CONTABILIDADE BÁSICA" sheetId="2" r:id="rId2"/>
    <sheet name="PREVISÃO DE VENCIMENTO" sheetId="3" r:id="rId3"/>
    <sheet name="EMPRESA EXPORTADORA S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4" l="1"/>
  <c r="L5" i="4"/>
  <c r="L6" i="4"/>
  <c r="L7" i="4"/>
  <c r="L8" i="4"/>
  <c r="L9" i="4"/>
  <c r="L10" i="4"/>
  <c r="L11" i="4"/>
  <c r="L12" i="4"/>
  <c r="L3" i="4"/>
  <c r="K4" i="4"/>
  <c r="K5" i="4"/>
  <c r="K6" i="4"/>
  <c r="K7" i="4"/>
  <c r="K8" i="4"/>
  <c r="K9" i="4"/>
  <c r="K10" i="4"/>
  <c r="K11" i="4"/>
  <c r="K12" i="4"/>
  <c r="K3" i="4"/>
  <c r="J4" i="4"/>
  <c r="J5" i="4"/>
  <c r="J6" i="4"/>
  <c r="J7" i="4"/>
  <c r="J8" i="4"/>
  <c r="J9" i="4"/>
  <c r="J10" i="4"/>
  <c r="J11" i="4"/>
  <c r="J12" i="4"/>
  <c r="J3" i="4"/>
  <c r="E5" i="3"/>
  <c r="E6" i="3"/>
  <c r="E7" i="3"/>
  <c r="E8" i="3"/>
  <c r="E9" i="3"/>
  <c r="E10" i="3"/>
  <c r="E11" i="3"/>
  <c r="E12" i="3"/>
  <c r="E13" i="3"/>
  <c r="E14" i="3"/>
  <c r="E15" i="3"/>
  <c r="E16" i="3"/>
  <c r="E4" i="3"/>
  <c r="F4" i="2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I14" i="1"/>
  <c r="I7" i="1"/>
  <c r="I8" i="1"/>
  <c r="I9" i="1"/>
  <c r="I10" i="1"/>
  <c r="I11" i="1"/>
  <c r="I12" i="1"/>
  <c r="D14" i="1"/>
  <c r="E14" i="1"/>
  <c r="F14" i="1"/>
  <c r="G14" i="1"/>
  <c r="H14" i="1"/>
  <c r="I6" i="1"/>
  <c r="H7" i="1"/>
  <c r="H8" i="1"/>
  <c r="H9" i="1"/>
  <c r="H10" i="1"/>
  <c r="H11" i="1"/>
  <c r="H12" i="1"/>
  <c r="H6" i="1"/>
  <c r="G7" i="1"/>
  <c r="G8" i="1"/>
  <c r="G9" i="1"/>
  <c r="G10" i="1"/>
  <c r="G11" i="1"/>
  <c r="G12" i="1"/>
  <c r="G6" i="1"/>
  <c r="F7" i="1"/>
  <c r="F8" i="1"/>
  <c r="F9" i="1"/>
  <c r="F10" i="1"/>
  <c r="F11" i="1"/>
  <c r="F12" i="1"/>
  <c r="F6" i="1"/>
  <c r="E7" i="1"/>
  <c r="E8" i="1"/>
  <c r="E9" i="1"/>
  <c r="E10" i="1"/>
  <c r="E11" i="1"/>
  <c r="E12" i="1"/>
  <c r="E6" i="1"/>
  <c r="D6" i="1"/>
  <c r="D7" i="1"/>
  <c r="D8" i="1"/>
  <c r="D9" i="1"/>
  <c r="D10" i="1"/>
  <c r="D11" i="1"/>
  <c r="D12" i="1"/>
  <c r="C14" i="1"/>
</calcChain>
</file>

<file path=xl/sharedStrings.xml><?xml version="1.0" encoding="utf-8"?>
<sst xmlns="http://schemas.openxmlformats.org/spreadsheetml/2006/main" count="63" uniqueCount="62">
  <si>
    <t>EMPRESA ME SEGURA SE NÃO EU CAIO LTDA</t>
  </si>
  <si>
    <t>Índices Mensais</t>
  </si>
  <si>
    <t>PRODUTO</t>
  </si>
  <si>
    <t xml:space="preserve">JAN </t>
  </si>
  <si>
    <t>FEV</t>
  </si>
  <si>
    <t>MAR</t>
  </si>
  <si>
    <t>ABR</t>
  </si>
  <si>
    <t>MAI</t>
  </si>
  <si>
    <t>JUN</t>
  </si>
  <si>
    <t>TOTAL</t>
  </si>
  <si>
    <t>Pastilha</t>
  </si>
  <si>
    <t>Macaco</t>
  </si>
  <si>
    <t>Lona</t>
  </si>
  <si>
    <t>Burrinho</t>
  </si>
  <si>
    <t>Trava</t>
  </si>
  <si>
    <t>Parafusos</t>
  </si>
  <si>
    <t>Chave de roda</t>
  </si>
  <si>
    <t>Totais</t>
  </si>
  <si>
    <t>Saldo final</t>
  </si>
  <si>
    <t>Crédito não identificado</t>
  </si>
  <si>
    <t>Aplicação em fundos</t>
  </si>
  <si>
    <t>Vendas</t>
  </si>
  <si>
    <t>Cheque devolvido</t>
  </si>
  <si>
    <t>Despesas diversas</t>
  </si>
  <si>
    <t>Depósito em cheque</t>
  </si>
  <si>
    <t>Juros Ch Especial</t>
  </si>
  <si>
    <t>Pagtos taxas</t>
  </si>
  <si>
    <t>Saque no caixa</t>
  </si>
  <si>
    <t>Transporte do mês anterior</t>
  </si>
  <si>
    <t>SALDO</t>
  </si>
  <si>
    <t>DÉBITO (R$)</t>
  </si>
  <si>
    <t>CRÉDITO (R$)</t>
  </si>
  <si>
    <t>HISTÓRICO</t>
  </si>
  <si>
    <t>DATA</t>
  </si>
  <si>
    <t>CONTABILIDADE BÁSICA</t>
  </si>
  <si>
    <t>PREVISÃO DE VENCIMENTO</t>
  </si>
  <si>
    <t>Nota Promissória</t>
  </si>
  <si>
    <t>Qtd dias Data início</t>
  </si>
  <si>
    <t>Data final</t>
  </si>
  <si>
    <t>Qtd dias</t>
  </si>
  <si>
    <t>EMPRESA EXPORTADORA SA</t>
  </si>
  <si>
    <t>Produto</t>
  </si>
  <si>
    <t>Jan</t>
  </si>
  <si>
    <t>Fev</t>
  </si>
  <si>
    <t>Mar</t>
  </si>
  <si>
    <t>Abr</t>
  </si>
  <si>
    <t>Mai</t>
  </si>
  <si>
    <t>Jun</t>
  </si>
  <si>
    <t>Jul</t>
  </si>
  <si>
    <t>Máximo</t>
  </si>
  <si>
    <t>Mínimo</t>
  </si>
  <si>
    <t>Média</t>
  </si>
  <si>
    <t>Roupas</t>
  </si>
  <si>
    <t>Calçados</t>
  </si>
  <si>
    <t>Enfeites</t>
  </si>
  <si>
    <t>Jóias</t>
  </si>
  <si>
    <t>Utensílios</t>
  </si>
  <si>
    <t>Bijouterias</t>
  </si>
  <si>
    <t>Alimentos</t>
  </si>
  <si>
    <t>Equipamentos</t>
  </si>
  <si>
    <t>Bebidas</t>
  </si>
  <si>
    <t>Móveis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</si>
</sst>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44" fontId="0" fillId="0" borderId="1" xfId="0" applyNumberFormat="1" applyBorder="1"/>
    <xf numFmtId="0" fontId="0" fillId="2" borderId="1" xfId="0" applyFill="1" applyBorder="1"/>
    <xf numFmtId="44" fontId="0" fillId="2" borderId="1" xfId="0" applyNumberFormat="1" applyFill="1" applyBorder="1"/>
    <xf numFmtId="0" fontId="0" fillId="2" borderId="1" xfId="0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44" fontId="0" fillId="3" borderId="1" xfId="0" applyNumberFormat="1" applyFill="1" applyBorder="1"/>
    <xf numFmtId="164" fontId="2" fillId="0" borderId="1" xfId="0" applyNumberFormat="1" applyFont="1" applyBorder="1"/>
    <xf numFmtId="0" fontId="2" fillId="0" borderId="1" xfId="0" applyFont="1" applyBorder="1"/>
    <xf numFmtId="14" fontId="2" fillId="0" borderId="1" xfId="0" applyNumberFormat="1" applyFont="1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4" fontId="0" fillId="0" borderId="1" xfId="0" applyNumberFormat="1" applyBorder="1" applyAlignment="1">
      <alignment horizontal="right" vertical="center"/>
    </xf>
    <xf numFmtId="44" fontId="0" fillId="0" borderId="0" xfId="0" applyNumberFormat="1" applyAlignment="1">
      <alignment horizontal="right"/>
    </xf>
    <xf numFmtId="44" fontId="0" fillId="0" borderId="2" xfId="0" applyNumberFormat="1" applyFill="1" applyBorder="1" applyAlignment="1">
      <alignment horizontal="right" vertical="center"/>
    </xf>
  </cellXfs>
  <cellStyles count="1">
    <cellStyle name="Normal" xfId="0" builtinId="0"/>
  </cellStyles>
  <dxfs count="17">
    <dxf>
      <fill>
        <patternFill>
          <bgColor rgb="FF00B0F0"/>
        </patternFill>
      </fill>
    </dxf>
    <dxf>
      <font>
        <u val="none"/>
        <color theme="1"/>
      </font>
      <fill>
        <patternFill>
          <bgColor rgb="FFFFFF00"/>
        </patternFill>
      </fill>
    </dxf>
    <dxf>
      <numFmt numFmtId="34" formatCode="_-&quot;R$&quot;\ * #,##0.00_-;\-&quot;R$&quot;\ * #,##0.00_-;_-&quot;R$&quot;\ * &quot;-&quot;??_-;_-@_-"/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u val="none"/>
        <color theme="1"/>
      </font>
      <fill>
        <patternFill>
          <bgColor rgb="FFFFFF00"/>
        </patternFill>
      </fill>
    </dxf>
    <dxf>
      <numFmt numFmtId="34" formatCode="_-&quot;R$&quot;\ * #,##0.00_-;\-&quot;R$&quot;\ * #,##0.00_-;_-&quot;R$&quot;\ * &quot;-&quot;??_-;_-@_-"/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34" formatCode="_-&quot;R$&quot;\ * #,##0.00_-;\-&quot;R$&quot;\ * #,##0.00_-;_-&quot;R$&quot;\ * &quot;-&quot;??_-;_-@_-"/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chemeClr val="tx1"/>
                </a:solidFill>
              </a:rPr>
              <a:t>VENDAS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VENDAS!$B$6</c:f>
              <c:strCache>
                <c:ptCount val="1"/>
                <c:pt idx="0">
                  <c:v>Pastilha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VENDAS!$C$5:$I$5</c:f>
              <c:strCache>
                <c:ptCount val="7"/>
                <c:pt idx="0">
                  <c:v>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TOTAL</c:v>
                </c:pt>
              </c:strCache>
            </c:strRef>
          </c:cat>
          <c:val>
            <c:numRef>
              <c:f>VENDAS!$C$6:$I$6</c:f>
              <c:numCache>
                <c:formatCode>_("R$"* #,##0.00_);_("R$"* \(#,##0.00\);_("R$"* "-"??_);_(@_)</c:formatCode>
                <c:ptCount val="7"/>
                <c:pt idx="0">
                  <c:v>15</c:v>
                </c:pt>
                <c:pt idx="1">
                  <c:v>17.25</c:v>
                </c:pt>
                <c:pt idx="2">
                  <c:v>18.975000000000001</c:v>
                </c:pt>
                <c:pt idx="3">
                  <c:v>21.631500000000003</c:v>
                </c:pt>
                <c:pt idx="4">
                  <c:v>27.472005000000003</c:v>
                </c:pt>
                <c:pt idx="5">
                  <c:v>41.208007500000008</c:v>
                </c:pt>
                <c:pt idx="6">
                  <c:v>141.53651250000001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72-4FEF-AA11-85F039E01A02}"/>
            </c:ext>
          </c:extLst>
        </c:ser>
        <c:ser>
          <c:idx val="1"/>
          <c:order val="1"/>
          <c:tx>
            <c:strRef>
              <c:f>VENDAS!$B$7</c:f>
              <c:strCache>
                <c:ptCount val="1"/>
                <c:pt idx="0">
                  <c:v>Macaco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VENDAS!$C$5:$I$5</c:f>
              <c:strCache>
                <c:ptCount val="7"/>
                <c:pt idx="0">
                  <c:v>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TOTAL</c:v>
                </c:pt>
              </c:strCache>
            </c:strRef>
          </c:cat>
          <c:val>
            <c:numRef>
              <c:f>VENDAS!$C$7:$I$7</c:f>
              <c:numCache>
                <c:formatCode>_("R$"* #,##0.00_);_("R$"* \(#,##0.00\);_("R$"* "-"??_);_(@_)</c:formatCode>
                <c:ptCount val="7"/>
                <c:pt idx="0">
                  <c:v>120</c:v>
                </c:pt>
                <c:pt idx="1">
                  <c:v>138</c:v>
                </c:pt>
                <c:pt idx="2">
                  <c:v>151.80000000000001</c:v>
                </c:pt>
                <c:pt idx="3">
                  <c:v>173.05200000000002</c:v>
                </c:pt>
                <c:pt idx="4">
                  <c:v>219.77604000000002</c:v>
                </c:pt>
                <c:pt idx="5">
                  <c:v>329.66406000000006</c:v>
                </c:pt>
                <c:pt idx="6">
                  <c:v>1132.2921000000001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72-4FEF-AA11-85F039E01A02}"/>
            </c:ext>
          </c:extLst>
        </c:ser>
        <c:ser>
          <c:idx val="2"/>
          <c:order val="2"/>
          <c:tx>
            <c:strRef>
              <c:f>VENDAS!$B$8</c:f>
              <c:strCache>
                <c:ptCount val="1"/>
                <c:pt idx="0">
                  <c:v>Lona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VENDAS!$C$5:$I$5</c:f>
              <c:strCache>
                <c:ptCount val="7"/>
                <c:pt idx="0">
                  <c:v>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TOTAL</c:v>
                </c:pt>
              </c:strCache>
            </c:strRef>
          </c:cat>
          <c:val>
            <c:numRef>
              <c:f>VENDAS!$C$8:$I$8</c:f>
              <c:numCache>
                <c:formatCode>_("R$"* #,##0.00_);_("R$"* \(#,##0.00\);_("R$"* "-"??_);_(@_)</c:formatCode>
                <c:ptCount val="7"/>
                <c:pt idx="0">
                  <c:v>13</c:v>
                </c:pt>
                <c:pt idx="1">
                  <c:v>14.95</c:v>
                </c:pt>
                <c:pt idx="2">
                  <c:v>16.445</c:v>
                </c:pt>
                <c:pt idx="3">
                  <c:v>18.747299999999999</c:v>
                </c:pt>
                <c:pt idx="4">
                  <c:v>23.809070999999999</c:v>
                </c:pt>
                <c:pt idx="5">
                  <c:v>35.713606499999997</c:v>
                </c:pt>
                <c:pt idx="6">
                  <c:v>122.66497749999999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72-4FEF-AA11-85F039E01A02}"/>
            </c:ext>
          </c:extLst>
        </c:ser>
        <c:ser>
          <c:idx val="3"/>
          <c:order val="3"/>
          <c:tx>
            <c:strRef>
              <c:f>VENDAS!$B$9</c:f>
              <c:strCache>
                <c:ptCount val="1"/>
                <c:pt idx="0">
                  <c:v>Burrinho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VENDAS!$C$5:$I$5</c:f>
              <c:strCache>
                <c:ptCount val="7"/>
                <c:pt idx="0">
                  <c:v>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TOTAL</c:v>
                </c:pt>
              </c:strCache>
            </c:strRef>
          </c:cat>
          <c:val>
            <c:numRef>
              <c:f>VENDAS!$C$9:$I$9</c:f>
              <c:numCache>
                <c:formatCode>_("R$"* #,##0.00_);_("R$"* \(#,##0.00\);_("R$"* "-"??_);_(@_)</c:formatCode>
                <c:ptCount val="7"/>
                <c:pt idx="0">
                  <c:v>25</c:v>
                </c:pt>
                <c:pt idx="1">
                  <c:v>28.75</c:v>
                </c:pt>
                <c:pt idx="2">
                  <c:v>31.625</c:v>
                </c:pt>
                <c:pt idx="3">
                  <c:v>36.052500000000002</c:v>
                </c:pt>
                <c:pt idx="4">
                  <c:v>45.786675000000002</c:v>
                </c:pt>
                <c:pt idx="5">
                  <c:v>68.680012500000004</c:v>
                </c:pt>
                <c:pt idx="6">
                  <c:v>235.89418750000002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72-4FEF-AA11-85F039E01A02}"/>
            </c:ext>
          </c:extLst>
        </c:ser>
        <c:ser>
          <c:idx val="4"/>
          <c:order val="4"/>
          <c:tx>
            <c:strRef>
              <c:f>VENDAS!$B$10</c:f>
              <c:strCache>
                <c:ptCount val="1"/>
                <c:pt idx="0">
                  <c:v>Trava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VENDAS!$C$5:$I$5</c:f>
              <c:strCache>
                <c:ptCount val="7"/>
                <c:pt idx="0">
                  <c:v>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TOTAL</c:v>
                </c:pt>
              </c:strCache>
            </c:strRef>
          </c:cat>
          <c:val>
            <c:numRef>
              <c:f>VENDAS!$C$10:$I$10</c:f>
              <c:numCache>
                <c:formatCode>_("R$"* #,##0.00_);_("R$"* \(#,##0.00\);_("R$"* "-"??_);_(@_)</c:formatCode>
                <c:ptCount val="7"/>
                <c:pt idx="0">
                  <c:v>2</c:v>
                </c:pt>
                <c:pt idx="1">
                  <c:v>2.2999999999999998</c:v>
                </c:pt>
                <c:pt idx="2">
                  <c:v>2.5299999999999998</c:v>
                </c:pt>
                <c:pt idx="3">
                  <c:v>2.8841999999999999</c:v>
                </c:pt>
                <c:pt idx="4">
                  <c:v>3.6629339999999999</c:v>
                </c:pt>
                <c:pt idx="5">
                  <c:v>5.4944009999999999</c:v>
                </c:pt>
                <c:pt idx="6">
                  <c:v>18.871535000000002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72-4FEF-AA11-85F039E01A02}"/>
            </c:ext>
          </c:extLst>
        </c:ser>
        <c:ser>
          <c:idx val="5"/>
          <c:order val="5"/>
          <c:tx>
            <c:strRef>
              <c:f>VENDAS!$B$11</c:f>
              <c:strCache>
                <c:ptCount val="1"/>
                <c:pt idx="0">
                  <c:v>Parafusos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VENDAS!$C$5:$I$5</c:f>
              <c:strCache>
                <c:ptCount val="7"/>
                <c:pt idx="0">
                  <c:v>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TOTAL</c:v>
                </c:pt>
              </c:strCache>
            </c:strRef>
          </c:cat>
          <c:val>
            <c:numRef>
              <c:f>VENDAS!$C$11:$I$11</c:f>
              <c:numCache>
                <c:formatCode>_("R$"* #,##0.00_);_("R$"* \(#,##0.00\);_("R$"* "-"??_);_(@_)</c:formatCode>
                <c:ptCount val="7"/>
                <c:pt idx="0">
                  <c:v>0.5</c:v>
                </c:pt>
                <c:pt idx="1">
                  <c:v>0.57499999999999996</c:v>
                </c:pt>
                <c:pt idx="2">
                  <c:v>0.63249999999999995</c:v>
                </c:pt>
                <c:pt idx="3">
                  <c:v>0.72104999999999997</c:v>
                </c:pt>
                <c:pt idx="4">
                  <c:v>0.91573349999999998</c:v>
                </c:pt>
                <c:pt idx="5">
                  <c:v>1.37360025</c:v>
                </c:pt>
                <c:pt idx="6">
                  <c:v>4.7178837500000004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72-4FEF-AA11-85F039E01A02}"/>
            </c:ext>
          </c:extLst>
        </c:ser>
        <c:ser>
          <c:idx val="6"/>
          <c:order val="6"/>
          <c:tx>
            <c:strRef>
              <c:f>VENDAS!$B$12</c:f>
              <c:strCache>
                <c:ptCount val="1"/>
                <c:pt idx="0">
                  <c:v>Chave de roda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VENDAS!$C$5:$I$5</c:f>
              <c:strCache>
                <c:ptCount val="7"/>
                <c:pt idx="0">
                  <c:v>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TOTAL</c:v>
                </c:pt>
              </c:strCache>
            </c:strRef>
          </c:cat>
          <c:val>
            <c:numRef>
              <c:f>VENDAS!$C$12:$I$12</c:f>
              <c:numCache>
                <c:formatCode>_("R$"* #,##0.00_);_("R$"* \(#,##0.00\);_("R$"* "-"??_);_(@_)</c:formatCode>
                <c:ptCount val="7"/>
                <c:pt idx="0">
                  <c:v>50</c:v>
                </c:pt>
                <c:pt idx="1">
                  <c:v>57.5</c:v>
                </c:pt>
                <c:pt idx="2">
                  <c:v>63.25</c:v>
                </c:pt>
                <c:pt idx="3">
                  <c:v>72.105000000000004</c:v>
                </c:pt>
                <c:pt idx="4">
                  <c:v>91.573350000000005</c:v>
                </c:pt>
                <c:pt idx="5">
                  <c:v>137.36002500000001</c:v>
                </c:pt>
                <c:pt idx="6">
                  <c:v>471.78837500000003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72-4FEF-AA11-85F039E01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19567"/>
        <c:axId val="142468127"/>
      </c:lineChart>
      <c:catAx>
        <c:axId val="4681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468127"/>
        <c:crosses val="autoZero"/>
        <c:auto val="1"/>
        <c:lblAlgn val="ctr"/>
        <c:lblOffset val="100"/>
        <c:noMultiLvlLbl val="0"/>
      </c:catAx>
      <c:valAx>
        <c:axId val="14246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81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</xdr:colOff>
      <xdr:row>1</xdr:row>
      <xdr:rowOff>14288</xdr:rowOff>
    </xdr:from>
    <xdr:to>
      <xdr:col>17</xdr:col>
      <xdr:colOff>600074</xdr:colOff>
      <xdr:row>14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0189119-417D-03EC-C560-BB9188685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C11D9-D3ED-480F-8B4A-384EA249BF38}">
  <dimension ref="B2:I14"/>
  <sheetViews>
    <sheetView workbookViewId="0">
      <selection activeCell="R19" sqref="R19"/>
    </sheetView>
  </sheetViews>
  <sheetFormatPr defaultRowHeight="15" x14ac:dyDescent="0.25"/>
  <cols>
    <col min="2" max="2" width="14" bestFit="1" customWidth="1"/>
    <col min="3" max="8" width="10.42578125" bestFit="1" customWidth="1"/>
    <col min="9" max="9" width="12" bestFit="1" customWidth="1"/>
  </cols>
  <sheetData>
    <row r="2" spans="2:9" x14ac:dyDescent="0.25">
      <c r="B2" s="11" t="s">
        <v>0</v>
      </c>
      <c r="C2" s="11"/>
      <c r="D2" s="11"/>
      <c r="E2" s="11"/>
      <c r="F2" s="11"/>
      <c r="G2" s="11"/>
      <c r="H2" s="11"/>
      <c r="I2" s="11"/>
    </row>
    <row r="3" spans="2:9" x14ac:dyDescent="0.25">
      <c r="B3" s="3" t="s">
        <v>1</v>
      </c>
      <c r="C3" s="3"/>
      <c r="D3" s="6">
        <v>0.15</v>
      </c>
      <c r="E3" s="6">
        <v>0.1</v>
      </c>
      <c r="F3" s="6">
        <v>0.14000000000000001</v>
      </c>
      <c r="G3" s="6">
        <v>0.27</v>
      </c>
      <c r="H3" s="6">
        <v>0.5</v>
      </c>
      <c r="I3" s="3"/>
    </row>
    <row r="4" spans="2:9" x14ac:dyDescent="0.25">
      <c r="B4" s="1"/>
      <c r="C4" s="1"/>
      <c r="D4" s="1"/>
      <c r="E4" s="1"/>
      <c r="F4" s="1"/>
      <c r="G4" s="1"/>
      <c r="H4" s="1"/>
      <c r="I4" s="1"/>
    </row>
    <row r="5" spans="2:9" x14ac:dyDescent="0.25">
      <c r="B5" s="3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</row>
    <row r="6" spans="2:9" x14ac:dyDescent="0.25">
      <c r="B6" s="1" t="s">
        <v>10</v>
      </c>
      <c r="C6" s="2">
        <v>15</v>
      </c>
      <c r="D6" s="7">
        <f>C6+C6*$D$3</f>
        <v>17.25</v>
      </c>
      <c r="E6" s="7">
        <f>D6+D6*$E$3</f>
        <v>18.975000000000001</v>
      </c>
      <c r="F6" s="7">
        <f>E6+E6*$F$3</f>
        <v>21.631500000000003</v>
      </c>
      <c r="G6" s="7">
        <f>F6+F6*$G$3</f>
        <v>27.472005000000003</v>
      </c>
      <c r="H6" s="7">
        <f>G6+G6*$H$3</f>
        <v>41.208007500000008</v>
      </c>
      <c r="I6" s="2">
        <f>SUM(C6:H6)</f>
        <v>141.53651250000001</v>
      </c>
    </row>
    <row r="7" spans="2:9" x14ac:dyDescent="0.25">
      <c r="B7" s="1" t="s">
        <v>11</v>
      </c>
      <c r="C7" s="2">
        <v>120</v>
      </c>
      <c r="D7" s="7">
        <f t="shared" ref="D7:D12" si="0">C7+C7*$D$3</f>
        <v>138</v>
      </c>
      <c r="E7" s="7">
        <f t="shared" ref="E7:E12" si="1">D7+D7*$E$3</f>
        <v>151.80000000000001</v>
      </c>
      <c r="F7" s="7">
        <f t="shared" ref="F7:F12" si="2">E7+E7*$F$3</f>
        <v>173.05200000000002</v>
      </c>
      <c r="G7" s="7">
        <f t="shared" ref="G7:G12" si="3">F7+F7*$G$3</f>
        <v>219.77604000000002</v>
      </c>
      <c r="H7" s="7">
        <f t="shared" ref="H7:H12" si="4">G7+G7*$H$3</f>
        <v>329.66406000000006</v>
      </c>
      <c r="I7" s="2">
        <f t="shared" ref="I7:I12" si="5">SUM(C7:H7)</f>
        <v>1132.2921000000001</v>
      </c>
    </row>
    <row r="8" spans="2:9" x14ac:dyDescent="0.25">
      <c r="B8" s="1" t="s">
        <v>12</v>
      </c>
      <c r="C8" s="2">
        <v>13</v>
      </c>
      <c r="D8" s="7">
        <f t="shared" si="0"/>
        <v>14.95</v>
      </c>
      <c r="E8" s="7">
        <f t="shared" si="1"/>
        <v>16.445</v>
      </c>
      <c r="F8" s="7">
        <f t="shared" si="2"/>
        <v>18.747299999999999</v>
      </c>
      <c r="G8" s="7">
        <f t="shared" si="3"/>
        <v>23.809070999999999</v>
      </c>
      <c r="H8" s="7">
        <f t="shared" si="4"/>
        <v>35.713606499999997</v>
      </c>
      <c r="I8" s="2">
        <f t="shared" si="5"/>
        <v>122.66497749999999</v>
      </c>
    </row>
    <row r="9" spans="2:9" x14ac:dyDescent="0.25">
      <c r="B9" s="1" t="s">
        <v>13</v>
      </c>
      <c r="C9" s="2">
        <v>25</v>
      </c>
      <c r="D9" s="7">
        <f t="shared" si="0"/>
        <v>28.75</v>
      </c>
      <c r="E9" s="7">
        <f t="shared" si="1"/>
        <v>31.625</v>
      </c>
      <c r="F9" s="7">
        <f t="shared" si="2"/>
        <v>36.052500000000002</v>
      </c>
      <c r="G9" s="7">
        <f t="shared" si="3"/>
        <v>45.786675000000002</v>
      </c>
      <c r="H9" s="7">
        <f t="shared" si="4"/>
        <v>68.680012500000004</v>
      </c>
      <c r="I9" s="2">
        <f t="shared" si="5"/>
        <v>235.89418750000002</v>
      </c>
    </row>
    <row r="10" spans="2:9" x14ac:dyDescent="0.25">
      <c r="B10" s="1" t="s">
        <v>14</v>
      </c>
      <c r="C10" s="2">
        <v>2</v>
      </c>
      <c r="D10" s="7">
        <f t="shared" si="0"/>
        <v>2.2999999999999998</v>
      </c>
      <c r="E10" s="7">
        <f t="shared" si="1"/>
        <v>2.5299999999999998</v>
      </c>
      <c r="F10" s="7">
        <f t="shared" si="2"/>
        <v>2.8841999999999999</v>
      </c>
      <c r="G10" s="7">
        <f t="shared" si="3"/>
        <v>3.6629339999999999</v>
      </c>
      <c r="H10" s="7">
        <f t="shared" si="4"/>
        <v>5.4944009999999999</v>
      </c>
      <c r="I10" s="2">
        <f t="shared" si="5"/>
        <v>18.871535000000002</v>
      </c>
    </row>
    <row r="11" spans="2:9" x14ac:dyDescent="0.25">
      <c r="B11" s="1" t="s">
        <v>15</v>
      </c>
      <c r="C11" s="2">
        <v>0.5</v>
      </c>
      <c r="D11" s="7">
        <f t="shared" si="0"/>
        <v>0.57499999999999996</v>
      </c>
      <c r="E11" s="7">
        <f t="shared" si="1"/>
        <v>0.63249999999999995</v>
      </c>
      <c r="F11" s="7">
        <f t="shared" si="2"/>
        <v>0.72104999999999997</v>
      </c>
      <c r="G11" s="7">
        <f t="shared" si="3"/>
        <v>0.91573349999999998</v>
      </c>
      <c r="H11" s="7">
        <f t="shared" si="4"/>
        <v>1.37360025</v>
      </c>
      <c r="I11" s="2">
        <f t="shared" si="5"/>
        <v>4.7178837500000004</v>
      </c>
    </row>
    <row r="12" spans="2:9" x14ac:dyDescent="0.25">
      <c r="B12" s="1" t="s">
        <v>16</v>
      </c>
      <c r="C12" s="2">
        <v>50</v>
      </c>
      <c r="D12" s="7">
        <f t="shared" si="0"/>
        <v>57.5</v>
      </c>
      <c r="E12" s="7">
        <f t="shared" si="1"/>
        <v>63.25</v>
      </c>
      <c r="F12" s="7">
        <f t="shared" si="2"/>
        <v>72.105000000000004</v>
      </c>
      <c r="G12" s="7">
        <f t="shared" si="3"/>
        <v>91.573350000000005</v>
      </c>
      <c r="H12" s="7">
        <f t="shared" si="4"/>
        <v>137.36002500000001</v>
      </c>
      <c r="I12" s="2">
        <f t="shared" si="5"/>
        <v>471.78837500000003</v>
      </c>
    </row>
    <row r="13" spans="2:9" x14ac:dyDescent="0.25">
      <c r="B13" s="1"/>
      <c r="C13" s="1"/>
      <c r="D13" s="1"/>
      <c r="E13" s="1"/>
      <c r="F13" s="1"/>
      <c r="G13" s="1"/>
      <c r="H13" s="1"/>
      <c r="I13" s="1"/>
    </row>
    <row r="14" spans="2:9" x14ac:dyDescent="0.25">
      <c r="B14" s="3" t="s">
        <v>17</v>
      </c>
      <c r="C14" s="4">
        <f>SUM(C6:C12)</f>
        <v>225.5</v>
      </c>
      <c r="D14" s="4">
        <f t="shared" ref="D14:I14" si="6">SUM(D6:D12)</f>
        <v>259.32499999999999</v>
      </c>
      <c r="E14" s="4">
        <f t="shared" si="6"/>
        <v>285.25749999999999</v>
      </c>
      <c r="F14" s="4">
        <f t="shared" si="6"/>
        <v>325.19355000000002</v>
      </c>
      <c r="G14" s="4">
        <f t="shared" si="6"/>
        <v>412.99580850000001</v>
      </c>
      <c r="H14" s="4">
        <f t="shared" si="6"/>
        <v>619.49371274999999</v>
      </c>
      <c r="I14" s="4">
        <f t="shared" si="6"/>
        <v>2127.7655712500004</v>
      </c>
    </row>
  </sheetData>
  <mergeCells count="1">
    <mergeCell ref="B2:I2"/>
  </mergeCells>
  <phoneticPr fontId="1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F5374-12F4-408A-A949-EF1CC3723887}">
  <dimension ref="B2:F15"/>
  <sheetViews>
    <sheetView workbookViewId="0">
      <selection activeCell="J9" sqref="J9"/>
    </sheetView>
  </sheetViews>
  <sheetFormatPr defaultRowHeight="15" x14ac:dyDescent="0.25"/>
  <cols>
    <col min="2" max="2" width="11.28515625" bestFit="1" customWidth="1"/>
    <col min="3" max="3" width="26.85546875" bestFit="1" customWidth="1"/>
    <col min="4" max="4" width="15.42578125" bestFit="1" customWidth="1"/>
    <col min="5" max="5" width="13.7109375" bestFit="1" customWidth="1"/>
    <col min="6" max="6" width="12.28515625" bestFit="1" customWidth="1"/>
  </cols>
  <sheetData>
    <row r="2" spans="2:6" x14ac:dyDescent="0.25">
      <c r="B2" s="13" t="s">
        <v>34</v>
      </c>
      <c r="C2" s="13"/>
      <c r="D2" s="13"/>
      <c r="E2" s="13"/>
      <c r="F2" s="13"/>
    </row>
    <row r="3" spans="2:6" x14ac:dyDescent="0.25">
      <c r="B3" s="12" t="s">
        <v>33</v>
      </c>
      <c r="C3" s="12" t="s">
        <v>32</v>
      </c>
      <c r="D3" s="12" t="s">
        <v>31</v>
      </c>
      <c r="E3" s="12" t="s">
        <v>30</v>
      </c>
      <c r="F3" s="12" t="s">
        <v>29</v>
      </c>
    </row>
    <row r="4" spans="2:6" x14ac:dyDescent="0.25">
      <c r="B4" s="10">
        <v>42005</v>
      </c>
      <c r="C4" s="9" t="s">
        <v>28</v>
      </c>
      <c r="D4" s="8">
        <v>1000</v>
      </c>
      <c r="E4" s="8">
        <v>0</v>
      </c>
      <c r="F4" s="8">
        <f>D4-E4</f>
        <v>1000</v>
      </c>
    </row>
    <row r="5" spans="2:6" x14ac:dyDescent="0.25">
      <c r="B5" s="10">
        <v>42006</v>
      </c>
      <c r="C5" s="9" t="s">
        <v>27</v>
      </c>
      <c r="D5" s="8">
        <v>0</v>
      </c>
      <c r="E5" s="8">
        <v>150</v>
      </c>
      <c r="F5" s="8">
        <f t="shared" ref="F5:F15" si="0">D5-E5+F4</f>
        <v>850</v>
      </c>
    </row>
    <row r="6" spans="2:6" x14ac:dyDescent="0.25">
      <c r="B6" s="10">
        <v>42007</v>
      </c>
      <c r="C6" s="9" t="s">
        <v>26</v>
      </c>
      <c r="D6" s="8">
        <v>0</v>
      </c>
      <c r="E6" s="8">
        <v>0</v>
      </c>
      <c r="F6" s="8">
        <f t="shared" si="0"/>
        <v>850</v>
      </c>
    </row>
    <row r="7" spans="2:6" x14ac:dyDescent="0.25">
      <c r="B7" s="10">
        <v>42008</v>
      </c>
      <c r="C7" s="9" t="s">
        <v>25</v>
      </c>
      <c r="D7" s="8">
        <v>0</v>
      </c>
      <c r="E7" s="8">
        <v>15</v>
      </c>
      <c r="F7" s="8">
        <f t="shared" si="0"/>
        <v>835</v>
      </c>
    </row>
    <row r="8" spans="2:6" x14ac:dyDescent="0.25">
      <c r="B8" s="10">
        <v>42009</v>
      </c>
      <c r="C8" s="9" t="s">
        <v>24</v>
      </c>
      <c r="D8" s="8">
        <v>50</v>
      </c>
      <c r="E8" s="8">
        <v>0</v>
      </c>
      <c r="F8" s="8">
        <f t="shared" si="0"/>
        <v>885</v>
      </c>
    </row>
    <row r="9" spans="2:6" x14ac:dyDescent="0.25">
      <c r="B9" s="10">
        <v>42010</v>
      </c>
      <c r="C9" s="9" t="s">
        <v>23</v>
      </c>
      <c r="D9" s="8">
        <v>0</v>
      </c>
      <c r="E9" s="8">
        <v>150</v>
      </c>
      <c r="F9" s="8">
        <f t="shared" si="0"/>
        <v>735</v>
      </c>
    </row>
    <row r="10" spans="2:6" x14ac:dyDescent="0.25">
      <c r="B10" s="10">
        <v>42011</v>
      </c>
      <c r="C10" s="9" t="s">
        <v>22</v>
      </c>
      <c r="D10" s="8">
        <v>0</v>
      </c>
      <c r="E10" s="8">
        <v>50</v>
      </c>
      <c r="F10" s="8">
        <f t="shared" si="0"/>
        <v>685</v>
      </c>
    </row>
    <row r="11" spans="2:6" x14ac:dyDescent="0.25">
      <c r="B11" s="10">
        <v>42012</v>
      </c>
      <c r="C11" s="9" t="s">
        <v>20</v>
      </c>
      <c r="D11" s="8">
        <v>0</v>
      </c>
      <c r="E11" s="8">
        <v>500</v>
      </c>
      <c r="F11" s="8">
        <f t="shared" si="0"/>
        <v>185</v>
      </c>
    </row>
    <row r="12" spans="2:6" x14ac:dyDescent="0.25">
      <c r="B12" s="10">
        <v>42013</v>
      </c>
      <c r="C12" s="9" t="s">
        <v>21</v>
      </c>
      <c r="D12" s="8">
        <v>357.98</v>
      </c>
      <c r="E12" s="8">
        <v>0</v>
      </c>
      <c r="F12" s="8">
        <f t="shared" si="0"/>
        <v>542.98</v>
      </c>
    </row>
    <row r="13" spans="2:6" x14ac:dyDescent="0.25">
      <c r="B13" s="10">
        <v>42014</v>
      </c>
      <c r="C13" s="9" t="s">
        <v>20</v>
      </c>
      <c r="D13" s="8">
        <v>0</v>
      </c>
      <c r="E13" s="8">
        <v>400</v>
      </c>
      <c r="F13" s="8">
        <f t="shared" si="0"/>
        <v>142.98000000000002</v>
      </c>
    </row>
    <row r="14" spans="2:6" x14ac:dyDescent="0.25">
      <c r="B14" s="10">
        <v>42015</v>
      </c>
      <c r="C14" s="9" t="s">
        <v>19</v>
      </c>
      <c r="D14" s="8">
        <v>0</v>
      </c>
      <c r="E14" s="8">
        <v>100</v>
      </c>
      <c r="F14" s="8">
        <f t="shared" si="0"/>
        <v>42.980000000000018</v>
      </c>
    </row>
    <row r="15" spans="2:6" x14ac:dyDescent="0.25">
      <c r="B15" s="10">
        <v>42016</v>
      </c>
      <c r="C15" s="9" t="s">
        <v>18</v>
      </c>
      <c r="D15" s="8"/>
      <c r="E15" s="8"/>
      <c r="F15" s="8">
        <f t="shared" si="0"/>
        <v>42.980000000000018</v>
      </c>
    </row>
  </sheetData>
  <mergeCells count="1">
    <mergeCell ref="B2:F2"/>
  </mergeCells>
  <conditionalFormatting sqref="F4:F15">
    <cfRule type="cellIs" dxfId="16" priority="1" operator="lessThan">
      <formula>500</formula>
    </cfRule>
    <cfRule type="cellIs" dxfId="15" priority="2" operator="greaterThan">
      <formula>500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FD761-5B69-4D04-B8B3-CC4E5E393771}">
  <dimension ref="B2:E16"/>
  <sheetViews>
    <sheetView workbookViewId="0">
      <selection activeCell="H3" sqref="H3"/>
    </sheetView>
  </sheetViews>
  <sheetFormatPr defaultRowHeight="15" x14ac:dyDescent="0.25"/>
  <cols>
    <col min="2" max="2" width="16.7109375" bestFit="1" customWidth="1"/>
    <col min="3" max="3" width="8.42578125" bestFit="1" customWidth="1"/>
    <col min="4" max="4" width="18.7109375" bestFit="1" customWidth="1"/>
    <col min="5" max="5" width="10.42578125" bestFit="1" customWidth="1"/>
  </cols>
  <sheetData>
    <row r="2" spans="2:5" x14ac:dyDescent="0.25">
      <c r="B2" s="18" t="s">
        <v>35</v>
      </c>
      <c r="C2" s="18"/>
      <c r="D2" s="18"/>
      <c r="E2" s="18"/>
    </row>
    <row r="3" spans="2:5" x14ac:dyDescent="0.25">
      <c r="B3" s="19" t="s">
        <v>36</v>
      </c>
      <c r="C3" s="19" t="s">
        <v>39</v>
      </c>
      <c r="D3" s="19" t="s">
        <v>37</v>
      </c>
      <c r="E3" s="19" t="s">
        <v>38</v>
      </c>
    </row>
    <row r="4" spans="2:5" x14ac:dyDescent="0.25">
      <c r="B4" s="14">
        <v>122</v>
      </c>
      <c r="C4" s="14">
        <v>180</v>
      </c>
      <c r="D4" s="17">
        <v>42016</v>
      </c>
      <c r="E4" s="17">
        <f>D4+C4</f>
        <v>42196</v>
      </c>
    </row>
    <row r="5" spans="2:5" x14ac:dyDescent="0.25">
      <c r="B5" s="14">
        <v>453</v>
      </c>
      <c r="C5" s="14">
        <v>60</v>
      </c>
      <c r="D5" s="17">
        <v>42045</v>
      </c>
      <c r="E5" s="17">
        <f t="shared" ref="E5:E16" si="0">D5+C5</f>
        <v>42105</v>
      </c>
    </row>
    <row r="6" spans="2:5" x14ac:dyDescent="0.25">
      <c r="B6" s="14">
        <v>675</v>
      </c>
      <c r="C6" s="14">
        <v>360</v>
      </c>
      <c r="D6" s="17">
        <v>41799</v>
      </c>
      <c r="E6" s="17">
        <f t="shared" si="0"/>
        <v>42159</v>
      </c>
    </row>
    <row r="7" spans="2:5" x14ac:dyDescent="0.25">
      <c r="B7" s="14">
        <v>321</v>
      </c>
      <c r="C7" s="14">
        <v>90</v>
      </c>
      <c r="D7" s="17">
        <v>41922</v>
      </c>
      <c r="E7" s="17">
        <f t="shared" si="0"/>
        <v>42012</v>
      </c>
    </row>
    <row r="8" spans="2:5" x14ac:dyDescent="0.25">
      <c r="B8" s="14">
        <v>908</v>
      </c>
      <c r="C8" s="14">
        <v>60</v>
      </c>
      <c r="D8" s="17">
        <v>42167</v>
      </c>
      <c r="E8" s="17">
        <f t="shared" si="0"/>
        <v>42227</v>
      </c>
    </row>
    <row r="9" spans="2:5" x14ac:dyDescent="0.25">
      <c r="B9" s="14">
        <v>678</v>
      </c>
      <c r="C9" s="14">
        <v>180</v>
      </c>
      <c r="D9" s="17">
        <v>42250</v>
      </c>
      <c r="E9" s="17">
        <f t="shared" si="0"/>
        <v>42430</v>
      </c>
    </row>
    <row r="10" spans="2:5" x14ac:dyDescent="0.25">
      <c r="B10" s="14">
        <v>453</v>
      </c>
      <c r="C10" s="14">
        <v>30</v>
      </c>
      <c r="D10" s="17">
        <v>42196</v>
      </c>
      <c r="E10" s="17">
        <f t="shared" si="0"/>
        <v>42226</v>
      </c>
    </row>
    <row r="11" spans="2:5" x14ac:dyDescent="0.25">
      <c r="B11" s="14">
        <v>123</v>
      </c>
      <c r="C11" s="14">
        <v>15</v>
      </c>
      <c r="D11" s="17">
        <v>41777</v>
      </c>
      <c r="E11" s="17">
        <f t="shared" si="0"/>
        <v>41792</v>
      </c>
    </row>
    <row r="12" spans="2:5" x14ac:dyDescent="0.25">
      <c r="B12" s="14">
        <v>548</v>
      </c>
      <c r="C12" s="14">
        <v>20</v>
      </c>
      <c r="D12" s="17">
        <v>42237</v>
      </c>
      <c r="E12" s="17">
        <f t="shared" si="0"/>
        <v>42257</v>
      </c>
    </row>
    <row r="13" spans="2:5" x14ac:dyDescent="0.25">
      <c r="B13" s="14">
        <v>679</v>
      </c>
      <c r="C13" s="14">
        <v>45</v>
      </c>
      <c r="D13" s="17">
        <v>42124</v>
      </c>
      <c r="E13" s="17">
        <f t="shared" si="0"/>
        <v>42169</v>
      </c>
    </row>
    <row r="14" spans="2:5" x14ac:dyDescent="0.25">
      <c r="B14" s="14">
        <v>900</v>
      </c>
      <c r="C14" s="14">
        <v>90</v>
      </c>
      <c r="D14" s="17">
        <v>42247</v>
      </c>
      <c r="E14" s="17">
        <f t="shared" si="0"/>
        <v>42337</v>
      </c>
    </row>
    <row r="15" spans="2:5" x14ac:dyDescent="0.25">
      <c r="B15" s="14">
        <v>3456</v>
      </c>
      <c r="C15" s="14">
        <v>365</v>
      </c>
      <c r="D15" s="17">
        <v>41827</v>
      </c>
      <c r="E15" s="17">
        <f t="shared" si="0"/>
        <v>42192</v>
      </c>
    </row>
    <row r="16" spans="2:5" x14ac:dyDescent="0.25">
      <c r="B16" s="14">
        <v>7659</v>
      </c>
      <c r="C16" s="14">
        <v>200</v>
      </c>
      <c r="D16" s="17">
        <v>41525</v>
      </c>
      <c r="E16" s="17">
        <f t="shared" si="0"/>
        <v>41725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95CF-8ED9-4BC9-900B-5147094B1E63}">
  <dimension ref="B1:L12"/>
  <sheetViews>
    <sheetView tabSelected="1" workbookViewId="0">
      <selection activeCell="E16" sqref="E16"/>
    </sheetView>
  </sheetViews>
  <sheetFormatPr defaultRowHeight="15" x14ac:dyDescent="0.25"/>
  <cols>
    <col min="2" max="2" width="13.85546875" bestFit="1" customWidth="1"/>
    <col min="3" max="3" width="13.28515625" bestFit="1" customWidth="1"/>
    <col min="4" max="6" width="14.28515625" bestFit="1" customWidth="1"/>
    <col min="7" max="7" width="13.28515625" bestFit="1" customWidth="1"/>
    <col min="8" max="8" width="14.28515625" bestFit="1" customWidth="1"/>
    <col min="9" max="9" width="13.28515625" bestFit="1" customWidth="1"/>
    <col min="10" max="10" width="14.28515625" bestFit="1" customWidth="1"/>
    <col min="11" max="11" width="12.140625" bestFit="1" customWidth="1"/>
    <col min="12" max="12" width="14.28515625" bestFit="1" customWidth="1"/>
  </cols>
  <sheetData>
    <row r="1" spans="2:12" x14ac:dyDescent="0.25">
      <c r="B1" s="15" t="s">
        <v>40</v>
      </c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2:12" x14ac:dyDescent="0.25">
      <c r="B2" s="16" t="s">
        <v>41</v>
      </c>
      <c r="C2" s="16" t="s">
        <v>42</v>
      </c>
      <c r="D2" s="16" t="s">
        <v>43</v>
      </c>
      <c r="E2" s="16" t="s">
        <v>44</v>
      </c>
      <c r="F2" s="16" t="s">
        <v>45</v>
      </c>
      <c r="G2" s="16" t="s">
        <v>46</v>
      </c>
      <c r="H2" s="16" t="s">
        <v>47</v>
      </c>
      <c r="I2" s="16" t="s">
        <v>48</v>
      </c>
      <c r="J2" s="16" t="s">
        <v>49</v>
      </c>
      <c r="K2" s="16" t="s">
        <v>50</v>
      </c>
      <c r="L2" s="16" t="s">
        <v>51</v>
      </c>
    </row>
    <row r="3" spans="2:12" x14ac:dyDescent="0.25">
      <c r="B3" s="20" t="s">
        <v>52</v>
      </c>
      <c r="C3" s="21">
        <v>6789</v>
      </c>
      <c r="D3" s="21">
        <v>5665</v>
      </c>
      <c r="E3" s="21">
        <v>3434</v>
      </c>
      <c r="F3" s="21">
        <v>34343</v>
      </c>
      <c r="G3" s="21">
        <v>5455</v>
      </c>
      <c r="H3" s="21">
        <v>6465</v>
      </c>
      <c r="I3" s="21">
        <v>4578</v>
      </c>
      <c r="J3" s="21">
        <f>MAX(C3:I3)</f>
        <v>34343</v>
      </c>
      <c r="K3" s="21">
        <f>MIN(C3:I3)</f>
        <v>3434</v>
      </c>
      <c r="L3" s="21">
        <f>AVERAGE(C3:I3)</f>
        <v>9532.7142857142862</v>
      </c>
    </row>
    <row r="4" spans="2:12" x14ac:dyDescent="0.25">
      <c r="B4" s="20" t="s">
        <v>53</v>
      </c>
      <c r="C4" s="21">
        <v>34543</v>
      </c>
      <c r="D4" s="21">
        <v>565656</v>
      </c>
      <c r="E4" s="21">
        <v>3434</v>
      </c>
      <c r="F4" s="21">
        <v>4545</v>
      </c>
      <c r="G4" s="21">
        <v>4565</v>
      </c>
      <c r="H4" s="21">
        <v>1545</v>
      </c>
      <c r="I4" s="21">
        <v>632</v>
      </c>
      <c r="J4" s="21">
        <f t="shared" ref="J4:J12" si="0">MAX(C4:I4)</f>
        <v>565656</v>
      </c>
      <c r="K4" s="21">
        <f t="shared" ref="K4:K12" si="1">MIN(C4:I4)</f>
        <v>632</v>
      </c>
      <c r="L4" s="21">
        <f t="shared" ref="L4:L12" si="2">AVERAGE(C4:I4)</f>
        <v>87845.71428571429</v>
      </c>
    </row>
    <row r="5" spans="2:12" x14ac:dyDescent="0.25">
      <c r="B5" s="20" t="s">
        <v>54</v>
      </c>
      <c r="C5" s="21">
        <v>7878</v>
      </c>
      <c r="D5" s="22">
        <v>565656</v>
      </c>
      <c r="E5" s="21">
        <v>56556</v>
      </c>
      <c r="F5" s="21">
        <v>677676</v>
      </c>
      <c r="G5" s="21">
        <v>8486</v>
      </c>
      <c r="H5" s="21">
        <v>478963</v>
      </c>
      <c r="I5" s="21">
        <v>124</v>
      </c>
      <c r="J5" s="21">
        <f t="shared" si="0"/>
        <v>677676</v>
      </c>
      <c r="K5" s="21">
        <f t="shared" si="1"/>
        <v>124</v>
      </c>
      <c r="L5" s="21">
        <f t="shared" si="2"/>
        <v>256477</v>
      </c>
    </row>
    <row r="6" spans="2:12" x14ac:dyDescent="0.25">
      <c r="B6" s="20" t="s">
        <v>55</v>
      </c>
      <c r="C6" s="23">
        <v>78787</v>
      </c>
      <c r="D6" s="21">
        <v>34343</v>
      </c>
      <c r="E6" s="21">
        <v>877878</v>
      </c>
      <c r="F6" s="21">
        <v>788787</v>
      </c>
      <c r="G6" s="21">
        <v>4837</v>
      </c>
      <c r="H6" s="21">
        <v>13645</v>
      </c>
      <c r="I6" s="21">
        <v>5896</v>
      </c>
      <c r="J6" s="21">
        <f t="shared" si="0"/>
        <v>877878</v>
      </c>
      <c r="K6" s="21">
        <f t="shared" si="1"/>
        <v>4837</v>
      </c>
      <c r="L6" s="21">
        <f t="shared" si="2"/>
        <v>257739</v>
      </c>
    </row>
    <row r="7" spans="2:12" x14ac:dyDescent="0.25">
      <c r="B7" s="20" t="s">
        <v>56</v>
      </c>
      <c r="C7" s="21">
        <v>2332</v>
      </c>
      <c r="D7" s="21">
        <v>23123</v>
      </c>
      <c r="E7" s="21">
        <v>6767</v>
      </c>
      <c r="F7" s="21">
        <v>98898</v>
      </c>
      <c r="G7" s="21">
        <v>123</v>
      </c>
      <c r="H7" s="21">
        <v>12324</v>
      </c>
      <c r="I7" s="21">
        <v>7846</v>
      </c>
      <c r="J7" s="21">
        <f t="shared" si="0"/>
        <v>98898</v>
      </c>
      <c r="K7" s="21">
        <f t="shared" si="1"/>
        <v>123</v>
      </c>
      <c r="L7" s="21">
        <f t="shared" si="2"/>
        <v>21630.428571428572</v>
      </c>
    </row>
    <row r="8" spans="2:12" x14ac:dyDescent="0.25">
      <c r="B8" s="20" t="s">
        <v>57</v>
      </c>
      <c r="C8" s="21">
        <v>99999</v>
      </c>
      <c r="D8" s="21">
        <v>8733</v>
      </c>
      <c r="E8" s="21">
        <v>89898</v>
      </c>
      <c r="F8" s="21">
        <v>909</v>
      </c>
      <c r="G8" s="21">
        <v>45896</v>
      </c>
      <c r="H8" s="21">
        <v>98657</v>
      </c>
      <c r="I8" s="21">
        <v>9632</v>
      </c>
      <c r="J8" s="21">
        <f t="shared" si="0"/>
        <v>99999</v>
      </c>
      <c r="K8" s="21">
        <f t="shared" si="1"/>
        <v>909</v>
      </c>
      <c r="L8" s="21">
        <f t="shared" si="2"/>
        <v>50532</v>
      </c>
    </row>
    <row r="9" spans="2:12" x14ac:dyDescent="0.25">
      <c r="B9" s="20" t="s">
        <v>58</v>
      </c>
      <c r="C9" s="21">
        <v>900</v>
      </c>
      <c r="D9" s="21">
        <v>445</v>
      </c>
      <c r="E9" s="21">
        <v>3434</v>
      </c>
      <c r="F9" s="21">
        <v>5656</v>
      </c>
      <c r="G9" s="21">
        <v>23564</v>
      </c>
      <c r="H9" s="21">
        <v>4568</v>
      </c>
      <c r="I9" s="21">
        <v>14538</v>
      </c>
      <c r="J9" s="21">
        <f t="shared" si="0"/>
        <v>23564</v>
      </c>
      <c r="K9" s="21">
        <f t="shared" si="1"/>
        <v>445</v>
      </c>
      <c r="L9" s="21">
        <f t="shared" si="2"/>
        <v>7586.4285714285716</v>
      </c>
    </row>
    <row r="10" spans="2:12" x14ac:dyDescent="0.25">
      <c r="B10" s="20" t="s">
        <v>59</v>
      </c>
      <c r="C10" s="21">
        <v>3434</v>
      </c>
      <c r="D10" s="21">
        <v>56789</v>
      </c>
      <c r="E10" s="21">
        <v>6767</v>
      </c>
      <c r="F10" s="21">
        <v>7878</v>
      </c>
      <c r="G10" s="21">
        <v>1568</v>
      </c>
      <c r="H10" s="21">
        <v>4785</v>
      </c>
      <c r="I10" s="21">
        <v>748</v>
      </c>
      <c r="J10" s="21">
        <f t="shared" si="0"/>
        <v>56789</v>
      </c>
      <c r="K10" s="21">
        <f t="shared" si="1"/>
        <v>748</v>
      </c>
      <c r="L10" s="21">
        <f t="shared" si="2"/>
        <v>11709.857142857143</v>
      </c>
    </row>
    <row r="11" spans="2:12" x14ac:dyDescent="0.25">
      <c r="B11" s="20" t="s">
        <v>60</v>
      </c>
      <c r="C11" s="21">
        <v>3443</v>
      </c>
      <c r="D11" s="21">
        <v>3434</v>
      </c>
      <c r="E11" s="21">
        <v>900</v>
      </c>
      <c r="F11" s="21">
        <v>7878</v>
      </c>
      <c r="G11" s="21">
        <v>12456</v>
      </c>
      <c r="H11" s="21">
        <v>12453</v>
      </c>
      <c r="I11" s="21">
        <v>1236</v>
      </c>
      <c r="J11" s="21">
        <f t="shared" si="0"/>
        <v>12456</v>
      </c>
      <c r="K11" s="21">
        <f t="shared" si="1"/>
        <v>900</v>
      </c>
      <c r="L11" s="21">
        <f t="shared" si="2"/>
        <v>5971.4285714285716</v>
      </c>
    </row>
    <row r="12" spans="2:12" x14ac:dyDescent="0.25">
      <c r="B12" s="20" t="s">
        <v>61</v>
      </c>
      <c r="C12" s="21">
        <v>67645</v>
      </c>
      <c r="D12" s="21">
        <v>909909</v>
      </c>
      <c r="E12" s="21">
        <v>3434</v>
      </c>
      <c r="F12" s="21">
        <v>5351</v>
      </c>
      <c r="G12" s="21">
        <v>1203</v>
      </c>
      <c r="H12" s="21">
        <v>10456</v>
      </c>
      <c r="I12" s="21">
        <v>1458</v>
      </c>
      <c r="J12" s="21">
        <f t="shared" si="0"/>
        <v>909909</v>
      </c>
      <c r="K12" s="21">
        <f t="shared" si="1"/>
        <v>1203</v>
      </c>
      <c r="L12" s="21">
        <f t="shared" si="2"/>
        <v>142779.42857142858</v>
      </c>
    </row>
  </sheetData>
  <mergeCells count="1">
    <mergeCell ref="B1:L1"/>
  </mergeCells>
  <phoneticPr fontId="1" type="noConversion"/>
  <conditionalFormatting sqref="K3:K12">
    <cfRule type="cellIs" dxfId="8" priority="5" operator="lessThan">
      <formula>1000</formula>
    </cfRule>
    <cfRule type="cellIs" dxfId="7" priority="4" operator="equal">
      <formula>1000</formula>
    </cfRule>
    <cfRule type="cellIs" dxfId="6" priority="3" operator="greaterThanOrEqual">
      <formula>1000</formula>
    </cfRule>
    <cfRule type="cellIs" dxfId="5" priority="2" operator="greaterThanOrEqual">
      <formula>1000</formula>
    </cfRule>
  </conditionalFormatting>
  <conditionalFormatting sqref="C3:C12">
    <cfRule type="cellIs" dxfId="0" priority="1" operator="lessThan">
      <formula>2000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VENDAS</vt:lpstr>
      <vt:lpstr>CONTABILIDADE BÁSICA</vt:lpstr>
      <vt:lpstr>PREVISÃO DE VENCIMENTO</vt:lpstr>
      <vt:lpstr>EMPRESA EXPORTADORA 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Maycon Douglas</dc:creator>
  <cp:lastModifiedBy>Maycon Douglas</cp:lastModifiedBy>
  <dcterms:created xsi:type="dcterms:W3CDTF">2025-04-30T13:44:05Z</dcterms:created>
  <dcterms:modified xsi:type="dcterms:W3CDTF">2025-04-30T18:37:21Z</dcterms:modified>
</cp:coreProperties>
</file>